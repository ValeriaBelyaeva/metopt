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од ломаных" sheetId="1" state="visible" r:id="rId1"/>
    <sheet xmlns:r="http://schemas.openxmlformats.org/officeDocument/2006/relationships"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555555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164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f(x) и точки испытаний метода ломаных</a:t>
            </a:r>
          </a:p>
        </rich>
      </tx>
    </title>
    <plotArea>
      <scatterChart>
        <ser>
          <idx val="0"/>
          <order val="0"/>
          <tx>
            <v>f(x)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'График'!$A$2:$A$242</f>
            </numRef>
          </xVal>
          <yVal>
            <numRef>
              <f>'График'!$B$2:$B$242</f>
            </numRef>
          </yVal>
          <smooth val="1"/>
        </ser>
        <ser>
          <idx val="1"/>
          <order val="1"/>
          <tx>
            <v>точки испытаний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'Метод ломаных'!$G$11:$G$55</f>
            </numRef>
          </xVal>
          <yVal>
            <numRef>
              <f>'Метод ломаных'!$K$11:$K$55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2" customWidth="1" min="8" max="8"/>
    <col width="11" customWidth="1" min="9" max="9"/>
    <col width="10" customWidth="1" min="10" max="10"/>
    <col width="10" customWidth="1" min="11" max="11"/>
    <col width="9" customWidth="1" min="12" max="12"/>
    <col width="22" customWidth="1" min="13" max="13"/>
  </cols>
  <sheetData>
    <row r="1">
      <c r="A1" s="1" t="inlineStr">
        <is>
          <t>ЛР2. Метод ломаных — ручное прохождение: f(x) = x + sin(3.14159·x) на [-3; 3]</t>
        </is>
      </c>
    </row>
    <row r="3">
      <c r="A3" s="2" t="inlineStr">
        <is>
          <t>a</t>
        </is>
      </c>
      <c r="B3" s="3" t="n">
        <v>-3</v>
      </c>
      <c r="D3" s="4" t="inlineStr">
        <is>
          <t>L = max|f'(x)| = max|1 + π·cos(πx)| = 1 + π.</t>
        </is>
      </c>
    </row>
    <row r="4">
      <c r="A4" s="2" t="inlineStr">
        <is>
          <t>b</t>
        </is>
      </c>
      <c r="B4" s="3" t="n">
        <v>3</v>
      </c>
      <c r="D4" s="4" t="inlineStr">
        <is>
          <t>Нижняя вершина ломаной на [xл; xп]:  x̂ = (xл + xп)/2 + (f(xл) − f(xп))/(2L),   p̂ = (f(xл) + f(xп))/2 − L(xп − xл)/2.</t>
        </is>
      </c>
    </row>
    <row r="5">
      <c r="A5" s="2" t="inlineStr">
        <is>
          <t>L</t>
        </is>
      </c>
      <c r="B5" s="3">
        <f>1+3.14159</f>
        <v/>
      </c>
      <c r="D5" s="4" t="inlineStr">
        <is>
          <t>На каждом шаге берём самую низкую из ещё не использованных вершин (её интервал вписан в строку),</t>
        </is>
      </c>
    </row>
    <row r="6">
      <c r="A6" s="2" t="inlineStr">
        <is>
          <t>eps</t>
        </is>
      </c>
      <c r="B6" s="3" t="n">
        <v>0.01</v>
      </c>
      <c r="D6" s="4" t="inlineStr">
        <is>
          <t>вычисляем f(x̂) — это новая точка испытания; её вершина заменяется двумя новыми (слева и справа).</t>
        </is>
      </c>
    </row>
    <row r="7">
      <c r="A7" s="2" t="inlineStr">
        <is>
          <t>f(a)</t>
        </is>
      </c>
      <c r="B7" s="3">
        <f>B3+SIN(3.14159*B3)</f>
        <v/>
      </c>
      <c r="D7" s="4" t="inlineStr">
        <is>
          <t>Остановка: рекорд f* − p̂ ≤ eps (p̂ — минимум ломаной, f* — лучшее найденное значение).</t>
        </is>
      </c>
    </row>
    <row r="8">
      <c r="A8" s="2" t="inlineStr">
        <is>
          <t>f(b)</t>
        </is>
      </c>
      <c r="B8" s="3">
        <f>B4+SIN(3.14159*B4)</f>
        <v/>
      </c>
    </row>
    <row r="10">
      <c r="A10" s="5" t="inlineStr">
        <is>
          <t>k</t>
        </is>
      </c>
      <c r="B10" s="5" t="inlineStr">
        <is>
          <t>точки (№)</t>
        </is>
      </c>
      <c r="C10" s="5" t="inlineStr">
        <is>
          <t>xл</t>
        </is>
      </c>
      <c r="D10" s="5" t="inlineStr">
        <is>
          <t>f(xл)</t>
        </is>
      </c>
      <c r="E10" s="5" t="inlineStr">
        <is>
          <t>xп</t>
        </is>
      </c>
      <c r="F10" s="5" t="inlineStr">
        <is>
          <t>f(xп)</t>
        </is>
      </c>
      <c r="G10" s="5" t="inlineStr">
        <is>
          <t>x̂ — вершина</t>
        </is>
      </c>
      <c r="H10" s="5" t="inlineStr">
        <is>
          <t>p̂ — высота</t>
        </is>
      </c>
      <c r="I10" s="5" t="inlineStr">
        <is>
          <t>рекорд f*</t>
        </is>
      </c>
      <c r="J10" s="5" t="inlineStr">
        <is>
          <t>f* − p̂</t>
        </is>
      </c>
      <c r="K10" s="5" t="inlineStr">
        <is>
          <t>f(x̂)</t>
        </is>
      </c>
      <c r="L10" s="5" t="inlineStr">
        <is>
          <t>№ новой точки</t>
        </is>
      </c>
      <c r="M10" s="5" t="inlineStr">
        <is>
          <t>статус</t>
        </is>
      </c>
    </row>
    <row r="11">
      <c r="A11" s="6" t="n">
        <v>1</v>
      </c>
      <c r="B11" s="6" t="inlineStr">
        <is>
          <t>0 и 1</t>
        </is>
      </c>
      <c r="C11" s="7">
        <f>$B$3</f>
        <v/>
      </c>
      <c r="D11" s="7">
        <f>$B$7</f>
        <v/>
      </c>
      <c r="E11" s="7">
        <f>$B$4</f>
        <v/>
      </c>
      <c r="F11" s="7">
        <f>$B$8</f>
        <v/>
      </c>
      <c r="G11" s="7">
        <f>(C11+E11)/2+(D11-F11)/(2*$B$5)</f>
        <v/>
      </c>
      <c r="H11" s="7">
        <f>(D11+F11)/2-$B$5*(E11-C11)/2</f>
        <v/>
      </c>
      <c r="I11" s="7">
        <f>MIN($B$7,$B$8,K$10:K10)</f>
        <v/>
      </c>
      <c r="J11" s="7">
        <f>I11-H11</f>
        <v/>
      </c>
      <c r="K11" s="7">
        <f>G11+SIN(3.14159*G11)</f>
        <v/>
      </c>
      <c r="L11" s="6" t="n">
        <v>2</v>
      </c>
      <c r="M11" s="6">
        <f>IF(J11&lt;=$B$6,"СТОП: f*-p̂ &lt;= eps","испытание")</f>
        <v/>
      </c>
    </row>
    <row r="12">
      <c r="A12" s="6" t="n">
        <v>2</v>
      </c>
      <c r="B12" s="6" t="inlineStr">
        <is>
          <t>2 и 1</t>
        </is>
      </c>
      <c r="C12" s="7">
        <f>$G$11</f>
        <v/>
      </c>
      <c r="D12" s="7">
        <f>$K$11</f>
        <v/>
      </c>
      <c r="E12" s="7">
        <f>$B$4</f>
        <v/>
      </c>
      <c r="F12" s="7">
        <f>$B$8</f>
        <v/>
      </c>
      <c r="G12" s="7">
        <f>(C12+E12)/2+(D12-F12)/(2*$B$5)</f>
        <v/>
      </c>
      <c r="H12" s="7">
        <f>(D12+F12)/2-$B$5*(E12-C12)/2</f>
        <v/>
      </c>
      <c r="I12" s="7">
        <f>MIN($B$7,$B$8,K$10:K11)</f>
        <v/>
      </c>
      <c r="J12" s="7">
        <f>I12-H12</f>
        <v/>
      </c>
      <c r="K12" s="7">
        <f>G12+SIN(3.14159*G12)</f>
        <v/>
      </c>
      <c r="L12" s="6" t="n">
        <v>3</v>
      </c>
      <c r="M12" s="6">
        <f>IF(J12&lt;=$B$6,"СТОП: f*-p̂ &lt;= eps","испытание")</f>
        <v/>
      </c>
    </row>
    <row r="13">
      <c r="A13" s="6" t="n">
        <v>3</v>
      </c>
      <c r="B13" s="6" t="inlineStr">
        <is>
          <t>0 и 2</t>
        </is>
      </c>
      <c r="C13" s="7">
        <f>$B$3</f>
        <v/>
      </c>
      <c r="D13" s="7">
        <f>$B$7</f>
        <v/>
      </c>
      <c r="E13" s="7">
        <f>$G$11</f>
        <v/>
      </c>
      <c r="F13" s="7">
        <f>$K$11</f>
        <v/>
      </c>
      <c r="G13" s="7">
        <f>(C13+E13)/2+(D13-F13)/(2*$B$5)</f>
        <v/>
      </c>
      <c r="H13" s="7">
        <f>(D13+F13)/2-$B$5*(E13-C13)/2</f>
        <v/>
      </c>
      <c r="I13" s="7">
        <f>MIN($B$7,$B$8,K$10:K12)</f>
        <v/>
      </c>
      <c r="J13" s="7">
        <f>I13-H13</f>
        <v/>
      </c>
      <c r="K13" s="7">
        <f>G13+SIN(3.14159*G13)</f>
        <v/>
      </c>
      <c r="L13" s="6" t="n">
        <v>4</v>
      </c>
      <c r="M13" s="6">
        <f>IF(J13&lt;=$B$6,"СТОП: f*-p̂ &lt;= eps","испытание")</f>
        <v/>
      </c>
    </row>
    <row r="14">
      <c r="A14" s="6" t="n">
        <v>4</v>
      </c>
      <c r="B14" s="6" t="inlineStr">
        <is>
          <t>0 и 4</t>
        </is>
      </c>
      <c r="C14" s="7">
        <f>$B$3</f>
        <v/>
      </c>
      <c r="D14" s="7">
        <f>$B$7</f>
        <v/>
      </c>
      <c r="E14" s="7">
        <f>$G$13</f>
        <v/>
      </c>
      <c r="F14" s="7">
        <f>$K$13</f>
        <v/>
      </c>
      <c r="G14" s="7">
        <f>(C14+E14)/2+(D14-F14)/(2*$B$5)</f>
        <v/>
      </c>
      <c r="H14" s="7">
        <f>(D14+F14)/2-$B$5*(E14-C14)/2</f>
        <v/>
      </c>
      <c r="I14" s="7">
        <f>MIN($B$7,$B$8,K$10:K13)</f>
        <v/>
      </c>
      <c r="J14" s="7">
        <f>I14-H14</f>
        <v/>
      </c>
      <c r="K14" s="7">
        <f>G14+SIN(3.14159*G14)</f>
        <v/>
      </c>
      <c r="L14" s="6" t="n">
        <v>5</v>
      </c>
      <c r="M14" s="6">
        <f>IF(J14&lt;=$B$6,"СТОП: f*-p̂ &lt;= eps","испытание")</f>
        <v/>
      </c>
    </row>
    <row r="15">
      <c r="A15" s="6" t="n">
        <v>5</v>
      </c>
      <c r="B15" s="6" t="inlineStr">
        <is>
          <t>4 и 2</t>
        </is>
      </c>
      <c r="C15" s="7">
        <f>$G$13</f>
        <v/>
      </c>
      <c r="D15" s="7">
        <f>$K$13</f>
        <v/>
      </c>
      <c r="E15" s="7">
        <f>$G$11</f>
        <v/>
      </c>
      <c r="F15" s="7">
        <f>$K$11</f>
        <v/>
      </c>
      <c r="G15" s="7">
        <f>(C15+E15)/2+(D15-F15)/(2*$B$5)</f>
        <v/>
      </c>
      <c r="H15" s="7">
        <f>(D15+F15)/2-$B$5*(E15-C15)/2</f>
        <v/>
      </c>
      <c r="I15" s="7">
        <f>MIN($B$7,$B$8,K$10:K14)</f>
        <v/>
      </c>
      <c r="J15" s="7">
        <f>I15-H15</f>
        <v/>
      </c>
      <c r="K15" s="7">
        <f>G15+SIN(3.14159*G15)</f>
        <v/>
      </c>
      <c r="L15" s="6" t="n">
        <v>6</v>
      </c>
      <c r="M15" s="6">
        <f>IF(J15&lt;=$B$6,"СТОП: f*-p̂ &lt;= eps","испытание")</f>
        <v/>
      </c>
    </row>
    <row r="16">
      <c r="A16" s="6" t="n">
        <v>6</v>
      </c>
      <c r="B16" s="6" t="inlineStr">
        <is>
          <t>0 и 5</t>
        </is>
      </c>
      <c r="C16" s="7">
        <f>$B$3</f>
        <v/>
      </c>
      <c r="D16" s="7">
        <f>$B$7</f>
        <v/>
      </c>
      <c r="E16" s="7">
        <f>$G$14</f>
        <v/>
      </c>
      <c r="F16" s="7">
        <f>$K$14</f>
        <v/>
      </c>
      <c r="G16" s="7">
        <f>(C16+E16)/2+(D16-F16)/(2*$B$5)</f>
        <v/>
      </c>
      <c r="H16" s="7">
        <f>(D16+F16)/2-$B$5*(E16-C16)/2</f>
        <v/>
      </c>
      <c r="I16" s="7">
        <f>MIN($B$7,$B$8,K$10:K15)</f>
        <v/>
      </c>
      <c r="J16" s="7">
        <f>I16-H16</f>
        <v/>
      </c>
      <c r="K16" s="7">
        <f>G16+SIN(3.14159*G16)</f>
        <v/>
      </c>
      <c r="L16" s="6" t="n">
        <v>7</v>
      </c>
      <c r="M16" s="6">
        <f>IF(J16&lt;=$B$6,"СТОП: f*-p̂ &lt;= eps","испытание")</f>
        <v/>
      </c>
    </row>
    <row r="17">
      <c r="A17" s="6" t="n">
        <v>7</v>
      </c>
      <c r="B17" s="6" t="inlineStr">
        <is>
          <t>5 и 4</t>
        </is>
      </c>
      <c r="C17" s="7">
        <f>$G$14</f>
        <v/>
      </c>
      <c r="D17" s="7">
        <f>$K$14</f>
        <v/>
      </c>
      <c r="E17" s="7">
        <f>$G$13</f>
        <v/>
      </c>
      <c r="F17" s="7">
        <f>$K$13</f>
        <v/>
      </c>
      <c r="G17" s="7">
        <f>(C17+E17)/2+(D17-F17)/(2*$B$5)</f>
        <v/>
      </c>
      <c r="H17" s="7">
        <f>(D17+F17)/2-$B$5*(E17-C17)/2</f>
        <v/>
      </c>
      <c r="I17" s="7">
        <f>MIN($B$7,$B$8,K$10:K16)</f>
        <v/>
      </c>
      <c r="J17" s="7">
        <f>I17-H17</f>
        <v/>
      </c>
      <c r="K17" s="7">
        <f>G17+SIN(3.14159*G17)</f>
        <v/>
      </c>
      <c r="L17" s="6" t="n">
        <v>8</v>
      </c>
      <c r="M17" s="6">
        <f>IF(J17&lt;=$B$6,"СТОП: f*-p̂ &lt;= eps","испытание")</f>
        <v/>
      </c>
    </row>
    <row r="18">
      <c r="A18" s="6" t="n">
        <v>8</v>
      </c>
      <c r="B18" s="6" t="inlineStr">
        <is>
          <t>5 и 8</t>
        </is>
      </c>
      <c r="C18" s="7">
        <f>$G$14</f>
        <v/>
      </c>
      <c r="D18" s="7">
        <f>$K$14</f>
        <v/>
      </c>
      <c r="E18" s="7">
        <f>$G$17</f>
        <v/>
      </c>
      <c r="F18" s="7">
        <f>$K$17</f>
        <v/>
      </c>
      <c r="G18" s="7">
        <f>(C18+E18)/2+(D18-F18)/(2*$B$5)</f>
        <v/>
      </c>
      <c r="H18" s="7">
        <f>(D18+F18)/2-$B$5*(E18-C18)/2</f>
        <v/>
      </c>
      <c r="I18" s="7">
        <f>MIN($B$7,$B$8,K$10:K17)</f>
        <v/>
      </c>
      <c r="J18" s="7">
        <f>I18-H18</f>
        <v/>
      </c>
      <c r="K18" s="7">
        <f>G18+SIN(3.14159*G18)</f>
        <v/>
      </c>
      <c r="L18" s="6" t="n">
        <v>9</v>
      </c>
      <c r="M18" s="6">
        <f>IF(J18&lt;=$B$6,"СТОП: f*-p̂ &lt;= eps","испытание")</f>
        <v/>
      </c>
    </row>
    <row r="19">
      <c r="A19" s="6" t="n">
        <v>9</v>
      </c>
      <c r="B19" s="6" t="inlineStr">
        <is>
          <t>8 и 4</t>
        </is>
      </c>
      <c r="C19" s="7">
        <f>$G$17</f>
        <v/>
      </c>
      <c r="D19" s="7">
        <f>$K$17</f>
        <v/>
      </c>
      <c r="E19" s="7">
        <f>$G$13</f>
        <v/>
      </c>
      <c r="F19" s="7">
        <f>$K$13</f>
        <v/>
      </c>
      <c r="G19" s="7">
        <f>(C19+E19)/2+(D19-F19)/(2*$B$5)</f>
        <v/>
      </c>
      <c r="H19" s="7">
        <f>(D19+F19)/2-$B$5*(E19-C19)/2</f>
        <v/>
      </c>
      <c r="I19" s="7">
        <f>MIN($B$7,$B$8,K$10:K18)</f>
        <v/>
      </c>
      <c r="J19" s="7">
        <f>I19-H19</f>
        <v/>
      </c>
      <c r="K19" s="7">
        <f>G19+SIN(3.14159*G19)</f>
        <v/>
      </c>
      <c r="L19" s="6" t="n">
        <v>10</v>
      </c>
      <c r="M19" s="6">
        <f>IF(J19&lt;=$B$6,"СТОП: f*-p̂ &lt;= eps","испытание")</f>
        <v/>
      </c>
    </row>
    <row r="20">
      <c r="A20" s="6" t="n">
        <v>10</v>
      </c>
      <c r="B20" s="6" t="inlineStr">
        <is>
          <t>0 и 7</t>
        </is>
      </c>
      <c r="C20" s="7">
        <f>$B$3</f>
        <v/>
      </c>
      <c r="D20" s="7">
        <f>$B$7</f>
        <v/>
      </c>
      <c r="E20" s="7">
        <f>$G$16</f>
        <v/>
      </c>
      <c r="F20" s="7">
        <f>$K$16</f>
        <v/>
      </c>
      <c r="G20" s="7">
        <f>(C20+E20)/2+(D20-F20)/(2*$B$5)</f>
        <v/>
      </c>
      <c r="H20" s="7">
        <f>(D20+F20)/2-$B$5*(E20-C20)/2</f>
        <v/>
      </c>
      <c r="I20" s="7">
        <f>MIN($B$7,$B$8,K$10:K19)</f>
        <v/>
      </c>
      <c r="J20" s="7">
        <f>I20-H20</f>
        <v/>
      </c>
      <c r="K20" s="7">
        <f>G20+SIN(3.14159*G20)</f>
        <v/>
      </c>
      <c r="L20" s="6" t="n">
        <v>11</v>
      </c>
      <c r="M20" s="6">
        <f>IF(J20&lt;=$B$6,"СТОП: f*-p̂ &lt;= eps","испытание")</f>
        <v/>
      </c>
    </row>
    <row r="21">
      <c r="A21" s="6" t="n">
        <v>11</v>
      </c>
      <c r="B21" s="6" t="inlineStr">
        <is>
          <t>7 и 5</t>
        </is>
      </c>
      <c r="C21" s="7">
        <f>$G$16</f>
        <v/>
      </c>
      <c r="D21" s="7">
        <f>$K$16</f>
        <v/>
      </c>
      <c r="E21" s="7">
        <f>$G$14</f>
        <v/>
      </c>
      <c r="F21" s="7">
        <f>$K$14</f>
        <v/>
      </c>
      <c r="G21" s="7">
        <f>(C21+E21)/2+(D21-F21)/(2*$B$5)</f>
        <v/>
      </c>
      <c r="H21" s="7">
        <f>(D21+F21)/2-$B$5*(E21-C21)/2</f>
        <v/>
      </c>
      <c r="I21" s="7">
        <f>MIN($B$7,$B$8,K$10:K20)</f>
        <v/>
      </c>
      <c r="J21" s="7">
        <f>I21-H21</f>
        <v/>
      </c>
      <c r="K21" s="7">
        <f>G21+SIN(3.14159*G21)</f>
        <v/>
      </c>
      <c r="L21" s="6" t="n">
        <v>12</v>
      </c>
      <c r="M21" s="6">
        <f>IF(J21&lt;=$B$6,"СТОП: f*-p̂ &lt;= eps","испытание")</f>
        <v/>
      </c>
    </row>
    <row r="22">
      <c r="A22" s="6" t="n">
        <v>12</v>
      </c>
      <c r="B22" s="6" t="inlineStr">
        <is>
          <t>5 и 9</t>
        </is>
      </c>
      <c r="C22" s="7">
        <f>$G$14</f>
        <v/>
      </c>
      <c r="D22" s="7">
        <f>$K$14</f>
        <v/>
      </c>
      <c r="E22" s="7">
        <f>$G$18</f>
        <v/>
      </c>
      <c r="F22" s="7">
        <f>$K$18</f>
        <v/>
      </c>
      <c r="G22" s="7">
        <f>(C22+E22)/2+(D22-F22)/(2*$B$5)</f>
        <v/>
      </c>
      <c r="H22" s="7">
        <f>(D22+F22)/2-$B$5*(E22-C22)/2</f>
        <v/>
      </c>
      <c r="I22" s="7">
        <f>MIN($B$7,$B$8,K$10:K21)</f>
        <v/>
      </c>
      <c r="J22" s="7">
        <f>I22-H22</f>
        <v/>
      </c>
      <c r="K22" s="7">
        <f>G22+SIN(3.14159*G22)</f>
        <v/>
      </c>
      <c r="L22" s="6" t="n">
        <v>13</v>
      </c>
      <c r="M22" s="6">
        <f>IF(J22&lt;=$B$6,"СТОП: f*-p̂ &lt;= eps","испытание")</f>
        <v/>
      </c>
    </row>
    <row r="23">
      <c r="A23" s="6" t="n">
        <v>13</v>
      </c>
      <c r="B23" s="6" t="inlineStr">
        <is>
          <t>9 и 8</t>
        </is>
      </c>
      <c r="C23" s="7">
        <f>$G$18</f>
        <v/>
      </c>
      <c r="D23" s="7">
        <f>$K$18</f>
        <v/>
      </c>
      <c r="E23" s="7">
        <f>$G$17</f>
        <v/>
      </c>
      <c r="F23" s="7">
        <f>$K$17</f>
        <v/>
      </c>
      <c r="G23" s="7">
        <f>(C23+E23)/2+(D23-F23)/(2*$B$5)</f>
        <v/>
      </c>
      <c r="H23" s="7">
        <f>(D23+F23)/2-$B$5*(E23-C23)/2</f>
        <v/>
      </c>
      <c r="I23" s="7">
        <f>MIN($B$7,$B$8,K$10:K22)</f>
        <v/>
      </c>
      <c r="J23" s="7">
        <f>I23-H23</f>
        <v/>
      </c>
      <c r="K23" s="7">
        <f>G23+SIN(3.14159*G23)</f>
        <v/>
      </c>
      <c r="L23" s="6" t="n">
        <v>14</v>
      </c>
      <c r="M23" s="6">
        <f>IF(J23&lt;=$B$6,"СТОП: f*-p̂ &lt;= eps","испытание")</f>
        <v/>
      </c>
    </row>
    <row r="24">
      <c r="A24" s="6" t="n">
        <v>14</v>
      </c>
      <c r="B24" s="6" t="inlineStr">
        <is>
          <t>7 и 12</t>
        </is>
      </c>
      <c r="C24" s="7">
        <f>$G$16</f>
        <v/>
      </c>
      <c r="D24" s="7">
        <f>$K$16</f>
        <v/>
      </c>
      <c r="E24" s="7">
        <f>$G$21</f>
        <v/>
      </c>
      <c r="F24" s="7">
        <f>$K$21</f>
        <v/>
      </c>
      <c r="G24" s="7">
        <f>(C24+E24)/2+(D24-F24)/(2*$B$5)</f>
        <v/>
      </c>
      <c r="H24" s="7">
        <f>(D24+F24)/2-$B$5*(E24-C24)/2</f>
        <v/>
      </c>
      <c r="I24" s="7">
        <f>MIN($B$7,$B$8,K$10:K23)</f>
        <v/>
      </c>
      <c r="J24" s="7">
        <f>I24-H24</f>
        <v/>
      </c>
      <c r="K24" s="7">
        <f>G24+SIN(3.14159*G24)</f>
        <v/>
      </c>
      <c r="L24" s="6" t="n">
        <v>15</v>
      </c>
      <c r="M24" s="6">
        <f>IF(J24&lt;=$B$6,"СТОП: f*-p̂ &lt;= eps","испытание")</f>
        <v/>
      </c>
    </row>
    <row r="25">
      <c r="A25" s="6" t="n">
        <v>15</v>
      </c>
      <c r="B25" s="6" t="inlineStr">
        <is>
          <t>12 и 5</t>
        </is>
      </c>
      <c r="C25" s="7">
        <f>$G$21</f>
        <v/>
      </c>
      <c r="D25" s="7">
        <f>$K$21</f>
        <v/>
      </c>
      <c r="E25" s="7">
        <f>$G$14</f>
        <v/>
      </c>
      <c r="F25" s="7">
        <f>$K$14</f>
        <v/>
      </c>
      <c r="G25" s="7">
        <f>(C25+E25)/2+(D25-F25)/(2*$B$5)</f>
        <v/>
      </c>
      <c r="H25" s="7">
        <f>(D25+F25)/2-$B$5*(E25-C25)/2</f>
        <v/>
      </c>
      <c r="I25" s="7">
        <f>MIN($B$7,$B$8,K$10:K24)</f>
        <v/>
      </c>
      <c r="J25" s="7">
        <f>I25-H25</f>
        <v/>
      </c>
      <c r="K25" s="7">
        <f>G25+SIN(3.14159*G25)</f>
        <v/>
      </c>
      <c r="L25" s="6" t="n">
        <v>16</v>
      </c>
      <c r="M25" s="6">
        <f>IF(J25&lt;=$B$6,"СТОП: f*-p̂ &lt;= eps","испытание")</f>
        <v/>
      </c>
    </row>
    <row r="26">
      <c r="A26" s="6" t="n">
        <v>16</v>
      </c>
      <c r="B26" s="6" t="inlineStr">
        <is>
          <t>5 и 13</t>
        </is>
      </c>
      <c r="C26" s="7">
        <f>$G$14</f>
        <v/>
      </c>
      <c r="D26" s="7">
        <f>$K$14</f>
        <v/>
      </c>
      <c r="E26" s="7">
        <f>$G$22</f>
        <v/>
      </c>
      <c r="F26" s="7">
        <f>$K$22</f>
        <v/>
      </c>
      <c r="G26" s="7">
        <f>(C26+E26)/2+(D26-F26)/(2*$B$5)</f>
        <v/>
      </c>
      <c r="H26" s="7">
        <f>(D26+F26)/2-$B$5*(E26-C26)/2</f>
        <v/>
      </c>
      <c r="I26" s="7">
        <f>MIN($B$7,$B$8,K$10:K25)</f>
        <v/>
      </c>
      <c r="J26" s="7">
        <f>I26-H26</f>
        <v/>
      </c>
      <c r="K26" s="7">
        <f>G26+SIN(3.14159*G26)</f>
        <v/>
      </c>
      <c r="L26" s="6" t="n">
        <v>17</v>
      </c>
      <c r="M26" s="6">
        <f>IF(J26&lt;=$B$6,"СТОП: f*-p̂ &lt;= eps","испытание")</f>
        <v/>
      </c>
    </row>
    <row r="27">
      <c r="A27" s="6" t="n">
        <v>17</v>
      </c>
      <c r="B27" s="6" t="inlineStr">
        <is>
          <t>13 и 9</t>
        </is>
      </c>
      <c r="C27" s="7">
        <f>$G$22</f>
        <v/>
      </c>
      <c r="D27" s="7">
        <f>$K$22</f>
        <v/>
      </c>
      <c r="E27" s="7">
        <f>$G$18</f>
        <v/>
      </c>
      <c r="F27" s="7">
        <f>$K$18</f>
        <v/>
      </c>
      <c r="G27" s="7">
        <f>(C27+E27)/2+(D27-F27)/(2*$B$5)</f>
        <v/>
      </c>
      <c r="H27" s="7">
        <f>(D27+F27)/2-$B$5*(E27-C27)/2</f>
        <v/>
      </c>
      <c r="I27" s="7">
        <f>MIN($B$7,$B$8,K$10:K26)</f>
        <v/>
      </c>
      <c r="J27" s="7">
        <f>I27-H27</f>
        <v/>
      </c>
      <c r="K27" s="7">
        <f>G27+SIN(3.14159*G27)</f>
        <v/>
      </c>
      <c r="L27" s="6" t="n">
        <v>18</v>
      </c>
      <c r="M27" s="6">
        <f>IF(J27&lt;=$B$6,"СТОП: f*-p̂ &lt;= eps","испытание")</f>
        <v/>
      </c>
    </row>
    <row r="28">
      <c r="A28" s="6" t="n">
        <v>18</v>
      </c>
      <c r="B28" s="6" t="inlineStr">
        <is>
          <t>9 и 14</t>
        </is>
      </c>
      <c r="C28" s="7">
        <f>$G$18</f>
        <v/>
      </c>
      <c r="D28" s="7">
        <f>$K$18</f>
        <v/>
      </c>
      <c r="E28" s="7">
        <f>$G$23</f>
        <v/>
      </c>
      <c r="F28" s="7">
        <f>$K$23</f>
        <v/>
      </c>
      <c r="G28" s="7">
        <f>(C28+E28)/2+(D28-F28)/(2*$B$5)</f>
        <v/>
      </c>
      <c r="H28" s="7">
        <f>(D28+F28)/2-$B$5*(E28-C28)/2</f>
        <v/>
      </c>
      <c r="I28" s="7">
        <f>MIN($B$7,$B$8,K$10:K27)</f>
        <v/>
      </c>
      <c r="J28" s="7">
        <f>I28-H28</f>
        <v/>
      </c>
      <c r="K28" s="7">
        <f>G28+SIN(3.14159*G28)</f>
        <v/>
      </c>
      <c r="L28" s="6" t="n">
        <v>19</v>
      </c>
      <c r="M28" s="6">
        <f>IF(J28&lt;=$B$6,"СТОП: f*-p̂ &lt;= eps","испытание")</f>
        <v/>
      </c>
    </row>
    <row r="29">
      <c r="A29" s="6" t="n">
        <v>19</v>
      </c>
      <c r="B29" s="6" t="inlineStr">
        <is>
          <t>14 и 8</t>
        </is>
      </c>
      <c r="C29" s="7">
        <f>$G$23</f>
        <v/>
      </c>
      <c r="D29" s="7">
        <f>$K$23</f>
        <v/>
      </c>
      <c r="E29" s="7">
        <f>$G$17</f>
        <v/>
      </c>
      <c r="F29" s="7">
        <f>$K$17</f>
        <v/>
      </c>
      <c r="G29" s="7">
        <f>(C29+E29)/2+(D29-F29)/(2*$B$5)</f>
        <v/>
      </c>
      <c r="H29" s="7">
        <f>(D29+F29)/2-$B$5*(E29-C29)/2</f>
        <v/>
      </c>
      <c r="I29" s="7">
        <f>MIN($B$7,$B$8,K$10:K28)</f>
        <v/>
      </c>
      <c r="J29" s="7">
        <f>I29-H29</f>
        <v/>
      </c>
      <c r="K29" s="7">
        <f>G29+SIN(3.14159*G29)</f>
        <v/>
      </c>
      <c r="L29" s="6" t="n">
        <v>20</v>
      </c>
      <c r="M29" s="6">
        <f>IF(J29&lt;=$B$6,"СТОП: f*-p̂ &lt;= eps","испытание")</f>
        <v/>
      </c>
    </row>
    <row r="30">
      <c r="A30" s="6" t="n">
        <v>20</v>
      </c>
      <c r="B30" s="6" t="inlineStr">
        <is>
          <t>12 и 16</t>
        </is>
      </c>
      <c r="C30" s="7">
        <f>$G$21</f>
        <v/>
      </c>
      <c r="D30" s="7">
        <f>$K$21</f>
        <v/>
      </c>
      <c r="E30" s="7">
        <f>$G$25</f>
        <v/>
      </c>
      <c r="F30" s="7">
        <f>$K$25</f>
        <v/>
      </c>
      <c r="G30" s="7">
        <f>(C30+E30)/2+(D30-F30)/(2*$B$5)</f>
        <v/>
      </c>
      <c r="H30" s="7">
        <f>(D30+F30)/2-$B$5*(E30-C30)/2</f>
        <v/>
      </c>
      <c r="I30" s="7">
        <f>MIN($B$7,$B$8,K$10:K29)</f>
        <v/>
      </c>
      <c r="J30" s="7">
        <f>I30-H30</f>
        <v/>
      </c>
      <c r="K30" s="7">
        <f>G30+SIN(3.14159*G30)</f>
        <v/>
      </c>
      <c r="L30" s="6" t="n">
        <v>21</v>
      </c>
      <c r="M30" s="6">
        <f>IF(J30&lt;=$B$6,"СТОП: f*-p̂ &lt;= eps","испытание")</f>
        <v/>
      </c>
    </row>
    <row r="31">
      <c r="A31" s="6" t="n">
        <v>21</v>
      </c>
      <c r="B31" s="6" t="inlineStr">
        <is>
          <t>16 и 5</t>
        </is>
      </c>
      <c r="C31" s="7">
        <f>$G$25</f>
        <v/>
      </c>
      <c r="D31" s="7">
        <f>$K$25</f>
        <v/>
      </c>
      <c r="E31" s="7">
        <f>$G$14</f>
        <v/>
      </c>
      <c r="F31" s="7">
        <f>$K$14</f>
        <v/>
      </c>
      <c r="G31" s="7">
        <f>(C31+E31)/2+(D31-F31)/(2*$B$5)</f>
        <v/>
      </c>
      <c r="H31" s="7">
        <f>(D31+F31)/2-$B$5*(E31-C31)/2</f>
        <v/>
      </c>
      <c r="I31" s="7">
        <f>MIN($B$7,$B$8,K$10:K30)</f>
        <v/>
      </c>
      <c r="J31" s="7">
        <f>I31-H31</f>
        <v/>
      </c>
      <c r="K31" s="7">
        <f>G31+SIN(3.14159*G31)</f>
        <v/>
      </c>
      <c r="L31" s="6" t="n">
        <v>22</v>
      </c>
      <c r="M31" s="6">
        <f>IF(J31&lt;=$B$6,"СТОП: f*-p̂ &lt;= eps","испытание")</f>
        <v/>
      </c>
    </row>
    <row r="32">
      <c r="A32" s="6" t="n">
        <v>22</v>
      </c>
      <c r="B32" s="6" t="inlineStr">
        <is>
          <t>10 и 4</t>
        </is>
      </c>
      <c r="C32" s="7">
        <f>$G$19</f>
        <v/>
      </c>
      <c r="D32" s="7">
        <f>$K$19</f>
        <v/>
      </c>
      <c r="E32" s="7">
        <f>$G$13</f>
        <v/>
      </c>
      <c r="F32" s="7">
        <f>$K$13</f>
        <v/>
      </c>
      <c r="G32" s="7">
        <f>(C32+E32)/2+(D32-F32)/(2*$B$5)</f>
        <v/>
      </c>
      <c r="H32" s="7">
        <f>(D32+F32)/2-$B$5*(E32-C32)/2</f>
        <v/>
      </c>
      <c r="I32" s="7">
        <f>MIN($B$7,$B$8,K$10:K31)</f>
        <v/>
      </c>
      <c r="J32" s="7">
        <f>I32-H32</f>
        <v/>
      </c>
      <c r="K32" s="7">
        <f>G32+SIN(3.14159*G32)</f>
        <v/>
      </c>
      <c r="L32" s="6" t="n">
        <v>23</v>
      </c>
      <c r="M32" s="6">
        <f>IF(J32&lt;=$B$6,"СТОП: f*-p̂ &lt;= eps","испытание")</f>
        <v/>
      </c>
    </row>
    <row r="33">
      <c r="A33" s="6" t="n">
        <v>23</v>
      </c>
      <c r="B33" s="6" t="inlineStr">
        <is>
          <t>8 и 10</t>
        </is>
      </c>
      <c r="C33" s="7">
        <f>$G$17</f>
        <v/>
      </c>
      <c r="D33" s="7">
        <f>$K$17</f>
        <v/>
      </c>
      <c r="E33" s="7">
        <f>$G$19</f>
        <v/>
      </c>
      <c r="F33" s="7">
        <f>$K$19</f>
        <v/>
      </c>
      <c r="G33" s="7">
        <f>(C33+E33)/2+(D33-F33)/(2*$B$5)</f>
        <v/>
      </c>
      <c r="H33" s="7">
        <f>(D33+F33)/2-$B$5*(E33-C33)/2</f>
        <v/>
      </c>
      <c r="I33" s="7">
        <f>MIN($B$7,$B$8,K$10:K32)</f>
        <v/>
      </c>
      <c r="J33" s="7">
        <f>I33-H33</f>
        <v/>
      </c>
      <c r="K33" s="7">
        <f>G33+SIN(3.14159*G33)</f>
        <v/>
      </c>
      <c r="L33" s="6" t="n">
        <v>24</v>
      </c>
      <c r="M33" s="6">
        <f>IF(J33&lt;=$B$6,"СТОП: f*-p̂ &lt;= eps","испытание")</f>
        <v/>
      </c>
    </row>
    <row r="34">
      <c r="A34" s="6" t="n">
        <v>24</v>
      </c>
      <c r="B34" s="6" t="inlineStr">
        <is>
          <t>17 и 13</t>
        </is>
      </c>
      <c r="C34" s="7">
        <f>$G$26</f>
        <v/>
      </c>
      <c r="D34" s="7">
        <f>$K$26</f>
        <v/>
      </c>
      <c r="E34" s="7">
        <f>$G$22</f>
        <v/>
      </c>
      <c r="F34" s="7">
        <f>$K$22</f>
        <v/>
      </c>
      <c r="G34" s="7">
        <f>(C34+E34)/2+(D34-F34)/(2*$B$5)</f>
        <v/>
      </c>
      <c r="H34" s="7">
        <f>(D34+F34)/2-$B$5*(E34-C34)/2</f>
        <v/>
      </c>
      <c r="I34" s="7">
        <f>MIN($B$7,$B$8,K$10:K33)</f>
        <v/>
      </c>
      <c r="J34" s="7">
        <f>I34-H34</f>
        <v/>
      </c>
      <c r="K34" s="7">
        <f>G34+SIN(3.14159*G34)</f>
        <v/>
      </c>
      <c r="L34" s="6" t="n">
        <v>25</v>
      </c>
      <c r="M34" s="6">
        <f>IF(J34&lt;=$B$6,"СТОП: f*-p̂ &lt;= eps","испытание")</f>
        <v/>
      </c>
    </row>
    <row r="35">
      <c r="A35" s="6" t="n">
        <v>25</v>
      </c>
      <c r="B35" s="6" t="inlineStr">
        <is>
          <t>5 и 17</t>
        </is>
      </c>
      <c r="C35" s="7">
        <f>$G$14</f>
        <v/>
      </c>
      <c r="D35" s="7">
        <f>$K$14</f>
        <v/>
      </c>
      <c r="E35" s="7">
        <f>$G$26</f>
        <v/>
      </c>
      <c r="F35" s="7">
        <f>$K$26</f>
        <v/>
      </c>
      <c r="G35" s="7">
        <f>(C35+E35)/2+(D35-F35)/(2*$B$5)</f>
        <v/>
      </c>
      <c r="H35" s="7">
        <f>(D35+F35)/2-$B$5*(E35-C35)/2</f>
        <v/>
      </c>
      <c r="I35" s="7">
        <f>MIN($B$7,$B$8,K$10:K34)</f>
        <v/>
      </c>
      <c r="J35" s="7">
        <f>I35-H35</f>
        <v/>
      </c>
      <c r="K35" s="7">
        <f>G35+SIN(3.14159*G35)</f>
        <v/>
      </c>
      <c r="L35" s="6" t="n">
        <v>26</v>
      </c>
      <c r="M35" s="6">
        <f>IF(J35&lt;=$B$6,"СТОП: f*-p̂ &lt;= eps","испытание")</f>
        <v/>
      </c>
    </row>
    <row r="36">
      <c r="A36" s="6" t="n">
        <v>26</v>
      </c>
      <c r="B36" s="6" t="inlineStr">
        <is>
          <t>13 и 18</t>
        </is>
      </c>
      <c r="C36" s="7">
        <f>$G$22</f>
        <v/>
      </c>
      <c r="D36" s="7">
        <f>$K$22</f>
        <v/>
      </c>
      <c r="E36" s="7">
        <f>$G$27</f>
        <v/>
      </c>
      <c r="F36" s="7">
        <f>$K$27</f>
        <v/>
      </c>
      <c r="G36" s="7">
        <f>(C36+E36)/2+(D36-F36)/(2*$B$5)</f>
        <v/>
      </c>
      <c r="H36" s="7">
        <f>(D36+F36)/2-$B$5*(E36-C36)/2</f>
        <v/>
      </c>
      <c r="I36" s="7">
        <f>MIN($B$7,$B$8,K$10:K35)</f>
        <v/>
      </c>
      <c r="J36" s="7">
        <f>I36-H36</f>
        <v/>
      </c>
      <c r="K36" s="7">
        <f>G36+SIN(3.14159*G36)</f>
        <v/>
      </c>
      <c r="L36" s="6" t="n">
        <v>27</v>
      </c>
      <c r="M36" s="6">
        <f>IF(J36&lt;=$B$6,"СТОП: f*-p̂ &lt;= eps","испытание")</f>
        <v/>
      </c>
    </row>
    <row r="37">
      <c r="A37" s="6" t="n">
        <v>27</v>
      </c>
      <c r="B37" s="6" t="inlineStr">
        <is>
          <t>18 и 9</t>
        </is>
      </c>
      <c r="C37" s="7">
        <f>$G$27</f>
        <v/>
      </c>
      <c r="D37" s="7">
        <f>$K$27</f>
        <v/>
      </c>
      <c r="E37" s="7">
        <f>$G$18</f>
        <v/>
      </c>
      <c r="F37" s="7">
        <f>$K$18</f>
        <v/>
      </c>
      <c r="G37" s="7">
        <f>(C37+E37)/2+(D37-F37)/(2*$B$5)</f>
        <v/>
      </c>
      <c r="H37" s="7">
        <f>(D37+F37)/2-$B$5*(E37-C37)/2</f>
        <v/>
      </c>
      <c r="I37" s="7">
        <f>MIN($B$7,$B$8,K$10:K36)</f>
        <v/>
      </c>
      <c r="J37" s="7">
        <f>I37-H37</f>
        <v/>
      </c>
      <c r="K37" s="7">
        <f>G37+SIN(3.14159*G37)</f>
        <v/>
      </c>
      <c r="L37" s="6" t="n">
        <v>28</v>
      </c>
      <c r="M37" s="6">
        <f>IF(J37&lt;=$B$6,"СТОП: f*-p̂ &lt;= eps","испытание")</f>
        <v/>
      </c>
    </row>
    <row r="38">
      <c r="A38" s="6" t="n">
        <v>28</v>
      </c>
      <c r="B38" s="6" t="inlineStr">
        <is>
          <t>7 и 15</t>
        </is>
      </c>
      <c r="C38" s="7">
        <f>$G$16</f>
        <v/>
      </c>
      <c r="D38" s="7">
        <f>$K$16</f>
        <v/>
      </c>
      <c r="E38" s="7">
        <f>$G$24</f>
        <v/>
      </c>
      <c r="F38" s="7">
        <f>$K$24</f>
        <v/>
      </c>
      <c r="G38" s="7">
        <f>(C38+E38)/2+(D38-F38)/(2*$B$5)</f>
        <v/>
      </c>
      <c r="H38" s="7">
        <f>(D38+F38)/2-$B$5*(E38-C38)/2</f>
        <v/>
      </c>
      <c r="I38" s="7">
        <f>MIN($B$7,$B$8,K$10:K37)</f>
        <v/>
      </c>
      <c r="J38" s="7">
        <f>I38-H38</f>
        <v/>
      </c>
      <c r="K38" s="7">
        <f>G38+SIN(3.14159*G38)</f>
        <v/>
      </c>
      <c r="L38" s="6" t="n">
        <v>29</v>
      </c>
      <c r="M38" s="6">
        <f>IF(J38&lt;=$B$6,"СТОП: f*-p̂ &lt;= eps","испытание")</f>
        <v/>
      </c>
    </row>
    <row r="39">
      <c r="A39" s="6" t="n">
        <v>29</v>
      </c>
      <c r="B39" s="6" t="inlineStr">
        <is>
          <t>15 и 12</t>
        </is>
      </c>
      <c r="C39" s="7">
        <f>$G$24</f>
        <v/>
      </c>
      <c r="D39" s="7">
        <f>$K$24</f>
        <v/>
      </c>
      <c r="E39" s="7">
        <f>$G$21</f>
        <v/>
      </c>
      <c r="F39" s="7">
        <f>$K$21</f>
        <v/>
      </c>
      <c r="G39" s="7">
        <f>(C39+E39)/2+(D39-F39)/(2*$B$5)</f>
        <v/>
      </c>
      <c r="H39" s="7">
        <f>(D39+F39)/2-$B$5*(E39-C39)/2</f>
        <v/>
      </c>
      <c r="I39" s="7">
        <f>MIN($B$7,$B$8,K$10:K38)</f>
        <v/>
      </c>
      <c r="J39" s="7">
        <f>I39-H39</f>
        <v/>
      </c>
      <c r="K39" s="7">
        <f>G39+SIN(3.14159*G39)</f>
        <v/>
      </c>
      <c r="L39" s="6" t="n">
        <v>30</v>
      </c>
      <c r="M39" s="6">
        <f>IF(J39&lt;=$B$6,"СТОП: f*-p̂ &lt;= eps","испытание")</f>
        <v/>
      </c>
    </row>
    <row r="40">
      <c r="A40" s="6" t="n">
        <v>30</v>
      </c>
      <c r="B40" s="6" t="inlineStr">
        <is>
          <t>16 и 22</t>
        </is>
      </c>
      <c r="C40" s="7">
        <f>$G$25</f>
        <v/>
      </c>
      <c r="D40" s="7">
        <f>$K$25</f>
        <v/>
      </c>
      <c r="E40" s="7">
        <f>$G$31</f>
        <v/>
      </c>
      <c r="F40" s="7">
        <f>$K$31</f>
        <v/>
      </c>
      <c r="G40" s="7">
        <f>(C40+E40)/2+(D40-F40)/(2*$B$5)</f>
        <v/>
      </c>
      <c r="H40" s="7">
        <f>(D40+F40)/2-$B$5*(E40-C40)/2</f>
        <v/>
      </c>
      <c r="I40" s="7">
        <f>MIN($B$7,$B$8,K$10:K39)</f>
        <v/>
      </c>
      <c r="J40" s="7">
        <f>I40-H40</f>
        <v/>
      </c>
      <c r="K40" s="7">
        <f>G40+SIN(3.14159*G40)</f>
        <v/>
      </c>
      <c r="L40" s="6" t="n">
        <v>31</v>
      </c>
      <c r="M40" s="6">
        <f>IF(J40&lt;=$B$6,"СТОП: f*-p̂ &lt;= eps","испытание")</f>
        <v/>
      </c>
    </row>
    <row r="41">
      <c r="A41" s="6" t="n">
        <v>31</v>
      </c>
      <c r="B41" s="6" t="inlineStr">
        <is>
          <t>22 и 5</t>
        </is>
      </c>
      <c r="C41" s="7">
        <f>$G$31</f>
        <v/>
      </c>
      <c r="D41" s="7">
        <f>$K$31</f>
        <v/>
      </c>
      <c r="E41" s="7">
        <f>$G$14</f>
        <v/>
      </c>
      <c r="F41" s="7">
        <f>$K$14</f>
        <v/>
      </c>
      <c r="G41" s="7">
        <f>(C41+E41)/2+(D41-F41)/(2*$B$5)</f>
        <v/>
      </c>
      <c r="H41" s="7">
        <f>(D41+F41)/2-$B$5*(E41-C41)/2</f>
        <v/>
      </c>
      <c r="I41" s="7">
        <f>MIN($B$7,$B$8,K$10:K40)</f>
        <v/>
      </c>
      <c r="J41" s="7">
        <f>I41-H41</f>
        <v/>
      </c>
      <c r="K41" s="7">
        <f>G41+SIN(3.14159*G41)</f>
        <v/>
      </c>
      <c r="L41" s="6" t="n">
        <v>32</v>
      </c>
      <c r="M41" s="6">
        <f>IF(J41&lt;=$B$6,"СТОП: f*-p̂ &lt;= eps","испытание")</f>
        <v/>
      </c>
    </row>
    <row r="42">
      <c r="A42" s="6" t="n">
        <v>32</v>
      </c>
      <c r="B42" s="6" t="inlineStr">
        <is>
          <t>9 и 19</t>
        </is>
      </c>
      <c r="C42" s="7">
        <f>$G$18</f>
        <v/>
      </c>
      <c r="D42" s="7">
        <f>$K$18</f>
        <v/>
      </c>
      <c r="E42" s="7">
        <f>$G$28</f>
        <v/>
      </c>
      <c r="F42" s="7">
        <f>$K$28</f>
        <v/>
      </c>
      <c r="G42" s="7">
        <f>(C42+E42)/2+(D42-F42)/(2*$B$5)</f>
        <v/>
      </c>
      <c r="H42" s="7">
        <f>(D42+F42)/2-$B$5*(E42-C42)/2</f>
        <v/>
      </c>
      <c r="I42" s="7">
        <f>MIN($B$7,$B$8,K$10:K41)</f>
        <v/>
      </c>
      <c r="J42" s="7">
        <f>I42-H42</f>
        <v/>
      </c>
      <c r="K42" s="7">
        <f>G42+SIN(3.14159*G42)</f>
        <v/>
      </c>
      <c r="L42" s="6" t="n">
        <v>33</v>
      </c>
      <c r="M42" s="6">
        <f>IF(J42&lt;=$B$6,"СТОП: f*-p̂ &lt;= eps","испытание")</f>
        <v/>
      </c>
    </row>
    <row r="43">
      <c r="A43" s="6" t="n">
        <v>33</v>
      </c>
      <c r="B43" s="6" t="inlineStr">
        <is>
          <t>19 и 14</t>
        </is>
      </c>
      <c r="C43" s="7">
        <f>$G$28</f>
        <v/>
      </c>
      <c r="D43" s="7">
        <f>$K$28</f>
        <v/>
      </c>
      <c r="E43" s="7">
        <f>$G$23</f>
        <v/>
      </c>
      <c r="F43" s="7">
        <f>$K$23</f>
        <v/>
      </c>
      <c r="G43" s="7">
        <f>(C43+E43)/2+(D43-F43)/(2*$B$5)</f>
        <v/>
      </c>
      <c r="H43" s="7">
        <f>(D43+F43)/2-$B$5*(E43-C43)/2</f>
        <v/>
      </c>
      <c r="I43" s="7">
        <f>MIN($B$7,$B$8,K$10:K42)</f>
        <v/>
      </c>
      <c r="J43" s="7">
        <f>I43-H43</f>
        <v/>
      </c>
      <c r="K43" s="7">
        <f>G43+SIN(3.14159*G43)</f>
        <v/>
      </c>
      <c r="L43" s="6" t="n">
        <v>34</v>
      </c>
      <c r="M43" s="6">
        <f>IF(J43&lt;=$B$6,"СТОП: f*-p̂ &lt;= eps","испытание")</f>
        <v/>
      </c>
    </row>
    <row r="44">
      <c r="A44" s="6" t="n">
        <v>34</v>
      </c>
      <c r="B44" s="6" t="inlineStr">
        <is>
          <t>21 и 16</t>
        </is>
      </c>
      <c r="C44" s="7">
        <f>$G$30</f>
        <v/>
      </c>
      <c r="D44" s="7">
        <f>$K$30</f>
        <v/>
      </c>
      <c r="E44" s="7">
        <f>$G$25</f>
        <v/>
      </c>
      <c r="F44" s="7">
        <f>$K$25</f>
        <v/>
      </c>
      <c r="G44" s="7">
        <f>(C44+E44)/2+(D44-F44)/(2*$B$5)</f>
        <v/>
      </c>
      <c r="H44" s="7">
        <f>(D44+F44)/2-$B$5*(E44-C44)/2</f>
        <v/>
      </c>
      <c r="I44" s="7">
        <f>MIN($B$7,$B$8,K$10:K43)</f>
        <v/>
      </c>
      <c r="J44" s="7">
        <f>I44-H44</f>
        <v/>
      </c>
      <c r="K44" s="7">
        <f>G44+SIN(3.14159*G44)</f>
        <v/>
      </c>
      <c r="L44" s="6" t="n">
        <v>35</v>
      </c>
      <c r="M44" s="6">
        <f>IF(J44&lt;=$B$6,"СТОП: f*-p̂ &lt;= eps","испытание")</f>
        <v/>
      </c>
    </row>
    <row r="45">
      <c r="A45" s="6" t="n">
        <v>35</v>
      </c>
      <c r="B45" s="6" t="inlineStr">
        <is>
          <t>12 и 21</t>
        </is>
      </c>
      <c r="C45" s="7">
        <f>$G$21</f>
        <v/>
      </c>
      <c r="D45" s="7">
        <f>$K$21</f>
        <v/>
      </c>
      <c r="E45" s="7">
        <f>$G$30</f>
        <v/>
      </c>
      <c r="F45" s="7">
        <f>$K$30</f>
        <v/>
      </c>
      <c r="G45" s="7">
        <f>(C45+E45)/2+(D45-F45)/(2*$B$5)</f>
        <v/>
      </c>
      <c r="H45" s="7">
        <f>(D45+F45)/2-$B$5*(E45-C45)/2</f>
        <v/>
      </c>
      <c r="I45" s="7">
        <f>MIN($B$7,$B$8,K$10:K44)</f>
        <v/>
      </c>
      <c r="J45" s="7">
        <f>I45-H45</f>
        <v/>
      </c>
      <c r="K45" s="7">
        <f>G45+SIN(3.14159*G45)</f>
        <v/>
      </c>
      <c r="L45" s="6" t="n">
        <v>36</v>
      </c>
      <c r="M45" s="6">
        <f>IF(J45&lt;=$B$6,"СТОП: f*-p̂ &lt;= eps","испытание")</f>
        <v/>
      </c>
    </row>
    <row r="46">
      <c r="A46" s="6" t="n">
        <v>36</v>
      </c>
      <c r="B46" s="6" t="inlineStr">
        <is>
          <t>17 и 25</t>
        </is>
      </c>
      <c r="C46" s="7">
        <f>$G$26</f>
        <v/>
      </c>
      <c r="D46" s="7">
        <f>$K$26</f>
        <v/>
      </c>
      <c r="E46" s="7">
        <f>$G$34</f>
        <v/>
      </c>
      <c r="F46" s="7">
        <f>$K$34</f>
        <v/>
      </c>
      <c r="G46" s="7">
        <f>(C46+E46)/2+(D46-F46)/(2*$B$5)</f>
        <v/>
      </c>
      <c r="H46" s="7">
        <f>(D46+F46)/2-$B$5*(E46-C46)/2</f>
        <v/>
      </c>
      <c r="I46" s="7">
        <f>MIN($B$7,$B$8,K$10:K45)</f>
        <v/>
      </c>
      <c r="J46" s="7">
        <f>I46-H46</f>
        <v/>
      </c>
      <c r="K46" s="7">
        <f>G46+SIN(3.14159*G46)</f>
        <v/>
      </c>
      <c r="L46" s="6" t="n">
        <v>37</v>
      </c>
      <c r="M46" s="6">
        <f>IF(J46&lt;=$B$6,"СТОП: f*-p̂ &lt;= eps","испытание")</f>
        <v/>
      </c>
    </row>
    <row r="47">
      <c r="A47" s="6" t="n">
        <v>37</v>
      </c>
      <c r="B47" s="6" t="inlineStr">
        <is>
          <t>25 и 13</t>
        </is>
      </c>
      <c r="C47" s="7">
        <f>$G$34</f>
        <v/>
      </c>
      <c r="D47" s="7">
        <f>$K$34</f>
        <v/>
      </c>
      <c r="E47" s="7">
        <f>$G$22</f>
        <v/>
      </c>
      <c r="F47" s="7">
        <f>$K$22</f>
        <v/>
      </c>
      <c r="G47" s="7">
        <f>(C47+E47)/2+(D47-F47)/(2*$B$5)</f>
        <v/>
      </c>
      <c r="H47" s="7">
        <f>(D47+F47)/2-$B$5*(E47-C47)/2</f>
        <v/>
      </c>
      <c r="I47" s="7">
        <f>MIN($B$7,$B$8,K$10:K46)</f>
        <v/>
      </c>
      <c r="J47" s="7">
        <f>I47-H47</f>
        <v/>
      </c>
      <c r="K47" s="7">
        <f>G47+SIN(3.14159*G47)</f>
        <v/>
      </c>
      <c r="L47" s="6" t="n">
        <v>38</v>
      </c>
      <c r="M47" s="6">
        <f>IF(J47&lt;=$B$6,"СТОП: f*-p̂ &lt;= eps","испытание")</f>
        <v/>
      </c>
    </row>
    <row r="48">
      <c r="A48" s="6" t="n">
        <v>38</v>
      </c>
      <c r="B48" s="6" t="inlineStr">
        <is>
          <t>5 и 26</t>
        </is>
      </c>
      <c r="C48" s="7">
        <f>$G$14</f>
        <v/>
      </c>
      <c r="D48" s="7">
        <f>$K$14</f>
        <v/>
      </c>
      <c r="E48" s="7">
        <f>$G$35</f>
        <v/>
      </c>
      <c r="F48" s="7">
        <f>$K$35</f>
        <v/>
      </c>
      <c r="G48" s="7">
        <f>(C48+E48)/2+(D48-F48)/(2*$B$5)</f>
        <v/>
      </c>
      <c r="H48" s="7">
        <f>(D48+F48)/2-$B$5*(E48-C48)/2</f>
        <v/>
      </c>
      <c r="I48" s="7">
        <f>MIN($B$7,$B$8,K$10:K47)</f>
        <v/>
      </c>
      <c r="J48" s="7">
        <f>I48-H48</f>
        <v/>
      </c>
      <c r="K48" s="7">
        <f>G48+SIN(3.14159*G48)</f>
        <v/>
      </c>
      <c r="L48" s="6" t="n">
        <v>39</v>
      </c>
      <c r="M48" s="6">
        <f>IF(J48&lt;=$B$6,"СТОП: f*-p̂ &lt;= eps","испытание")</f>
        <v/>
      </c>
    </row>
    <row r="49">
      <c r="A49" s="6" t="n">
        <v>39</v>
      </c>
      <c r="B49" s="6" t="inlineStr">
        <is>
          <t>26 и 17</t>
        </is>
      </c>
      <c r="C49" s="7">
        <f>$G$35</f>
        <v/>
      </c>
      <c r="D49" s="7">
        <f>$K$35</f>
        <v/>
      </c>
      <c r="E49" s="7">
        <f>$G$26</f>
        <v/>
      </c>
      <c r="F49" s="7">
        <f>$K$26</f>
        <v/>
      </c>
      <c r="G49" s="7">
        <f>(C49+E49)/2+(D49-F49)/(2*$B$5)</f>
        <v/>
      </c>
      <c r="H49" s="7">
        <f>(D49+F49)/2-$B$5*(E49-C49)/2</f>
        <v/>
      </c>
      <c r="I49" s="7">
        <f>MIN($B$7,$B$8,K$10:K48)</f>
        <v/>
      </c>
      <c r="J49" s="7">
        <f>I49-H49</f>
        <v/>
      </c>
      <c r="K49" s="7">
        <f>G49+SIN(3.14159*G49)</f>
        <v/>
      </c>
      <c r="L49" s="6" t="n">
        <v>40</v>
      </c>
      <c r="M49" s="6">
        <f>IF(J49&lt;=$B$6,"СТОП: f*-p̂ &lt;= eps","испытание")</f>
        <v/>
      </c>
    </row>
    <row r="50">
      <c r="A50" s="6" t="n">
        <v>40</v>
      </c>
      <c r="B50" s="6" t="inlineStr">
        <is>
          <t>13 и 27</t>
        </is>
      </c>
      <c r="C50" s="7">
        <f>$G$22</f>
        <v/>
      </c>
      <c r="D50" s="7">
        <f>$K$22</f>
        <v/>
      </c>
      <c r="E50" s="7">
        <f>$G$36</f>
        <v/>
      </c>
      <c r="F50" s="7">
        <f>$K$36</f>
        <v/>
      </c>
      <c r="G50" s="7">
        <f>(C50+E50)/2+(D50-F50)/(2*$B$5)</f>
        <v/>
      </c>
      <c r="H50" s="7">
        <f>(D50+F50)/2-$B$5*(E50-C50)/2</f>
        <v/>
      </c>
      <c r="I50" s="7">
        <f>MIN($B$7,$B$8,K$10:K49)</f>
        <v/>
      </c>
      <c r="J50" s="7">
        <f>I50-H50</f>
        <v/>
      </c>
      <c r="K50" s="7">
        <f>G50+SIN(3.14159*G50)</f>
        <v/>
      </c>
      <c r="L50" s="6" t="n">
        <v>41</v>
      </c>
      <c r="M50" s="6">
        <f>IF(J50&lt;=$B$6,"СТОП: f*-p̂ &lt;= eps","испытание")</f>
        <v/>
      </c>
    </row>
    <row r="51">
      <c r="A51" s="6" t="n">
        <v>41</v>
      </c>
      <c r="B51" s="6" t="inlineStr">
        <is>
          <t>27 и 18</t>
        </is>
      </c>
      <c r="C51" s="7">
        <f>$G$36</f>
        <v/>
      </c>
      <c r="D51" s="7">
        <f>$K$36</f>
        <v/>
      </c>
      <c r="E51" s="7">
        <f>$G$27</f>
        <v/>
      </c>
      <c r="F51" s="7">
        <f>$K$27</f>
        <v/>
      </c>
      <c r="G51" s="7">
        <f>(C51+E51)/2+(D51-F51)/(2*$B$5)</f>
        <v/>
      </c>
      <c r="H51" s="7">
        <f>(D51+F51)/2-$B$5*(E51-C51)/2</f>
        <v/>
      </c>
      <c r="I51" s="7">
        <f>MIN($B$7,$B$8,K$10:K50)</f>
        <v/>
      </c>
      <c r="J51" s="7">
        <f>I51-H51</f>
        <v/>
      </c>
      <c r="K51" s="7">
        <f>G51+SIN(3.14159*G51)</f>
        <v/>
      </c>
      <c r="L51" s="6" t="n">
        <v>42</v>
      </c>
      <c r="M51" s="6">
        <f>IF(J51&lt;=$B$6,"СТОП: f*-p̂ &lt;= eps","испытание")</f>
        <v/>
      </c>
    </row>
    <row r="52">
      <c r="A52" s="6" t="n">
        <v>42</v>
      </c>
      <c r="B52" s="6" t="inlineStr">
        <is>
          <t>11 и 7</t>
        </is>
      </c>
      <c r="C52" s="7">
        <f>$G$20</f>
        <v/>
      </c>
      <c r="D52" s="7">
        <f>$K$20</f>
        <v/>
      </c>
      <c r="E52" s="7">
        <f>$G$16</f>
        <v/>
      </c>
      <c r="F52" s="7">
        <f>$K$16</f>
        <v/>
      </c>
      <c r="G52" s="7">
        <f>(C52+E52)/2+(D52-F52)/(2*$B$5)</f>
        <v/>
      </c>
      <c r="H52" s="7">
        <f>(D52+F52)/2-$B$5*(E52-C52)/2</f>
        <v/>
      </c>
      <c r="I52" s="7">
        <f>MIN($B$7,$B$8,K$10:K51)</f>
        <v/>
      </c>
      <c r="J52" s="7">
        <f>I52-H52</f>
        <v/>
      </c>
      <c r="K52" s="7">
        <f>G52+SIN(3.14159*G52)</f>
        <v/>
      </c>
      <c r="L52" s="6" t="n">
        <v>43</v>
      </c>
      <c r="M52" s="6">
        <f>IF(J52&lt;=$B$6,"СТОП: f*-p̂ &lt;= eps","испытание")</f>
        <v/>
      </c>
    </row>
    <row r="53">
      <c r="A53" s="6" t="n">
        <v>43</v>
      </c>
      <c r="B53" s="6" t="inlineStr">
        <is>
          <t>0 и 11</t>
        </is>
      </c>
      <c r="C53" s="7">
        <f>$B$3</f>
        <v/>
      </c>
      <c r="D53" s="7">
        <f>$B$7</f>
        <v/>
      </c>
      <c r="E53" s="7">
        <f>$G$20</f>
        <v/>
      </c>
      <c r="F53" s="7">
        <f>$K$20</f>
        <v/>
      </c>
      <c r="G53" s="7">
        <f>(C53+E53)/2+(D53-F53)/(2*$B$5)</f>
        <v/>
      </c>
      <c r="H53" s="7">
        <f>(D53+F53)/2-$B$5*(E53-C53)/2</f>
        <v/>
      </c>
      <c r="I53" s="7">
        <f>MIN($B$7,$B$8,K$10:K52)</f>
        <v/>
      </c>
      <c r="J53" s="7">
        <f>I53-H53</f>
        <v/>
      </c>
      <c r="K53" s="7">
        <f>G53+SIN(3.14159*G53)</f>
        <v/>
      </c>
      <c r="L53" s="6" t="n">
        <v>44</v>
      </c>
      <c r="M53" s="6">
        <f>IF(J53&lt;=$B$6,"СТОП: f*-p̂ &lt;= eps","испытание")</f>
        <v/>
      </c>
    </row>
    <row r="54">
      <c r="A54" s="6" t="n">
        <v>44</v>
      </c>
      <c r="B54" s="6" t="inlineStr">
        <is>
          <t>18 и 28</t>
        </is>
      </c>
      <c r="C54" s="7">
        <f>$G$27</f>
        <v/>
      </c>
      <c r="D54" s="7">
        <f>$K$27</f>
        <v/>
      </c>
      <c r="E54" s="7">
        <f>$G$37</f>
        <v/>
      </c>
      <c r="F54" s="7">
        <f>$K$37</f>
        <v/>
      </c>
      <c r="G54" s="7">
        <f>(C54+E54)/2+(D54-F54)/(2*$B$5)</f>
        <v/>
      </c>
      <c r="H54" s="7">
        <f>(D54+F54)/2-$B$5*(E54-C54)/2</f>
        <v/>
      </c>
      <c r="I54" s="7">
        <f>MIN($B$7,$B$8,K$10:K53)</f>
        <v/>
      </c>
      <c r="J54" s="7">
        <f>I54-H54</f>
        <v/>
      </c>
      <c r="K54" s="7">
        <f>G54+SIN(3.14159*G54)</f>
        <v/>
      </c>
      <c r="L54" s="6" t="n">
        <v>45</v>
      </c>
      <c r="M54" s="6">
        <f>IF(J54&lt;=$B$6,"СТОП: f*-p̂ &lt;= eps","испытание")</f>
        <v/>
      </c>
    </row>
    <row r="55">
      <c r="A55" s="6" t="n">
        <v>45</v>
      </c>
      <c r="B55" s="6" t="inlineStr">
        <is>
          <t>28 и 9</t>
        </is>
      </c>
      <c r="C55" s="7">
        <f>$G$37</f>
        <v/>
      </c>
      <c r="D55" s="7">
        <f>$K$37</f>
        <v/>
      </c>
      <c r="E55" s="7">
        <f>$G$18</f>
        <v/>
      </c>
      <c r="F55" s="7">
        <f>$K$18</f>
        <v/>
      </c>
      <c r="G55" s="7">
        <f>(C55+E55)/2+(D55-F55)/(2*$B$5)</f>
        <v/>
      </c>
      <c r="H55" s="7">
        <f>(D55+F55)/2-$B$5*(E55-C55)/2</f>
        <v/>
      </c>
      <c r="I55" s="7">
        <f>MIN($B$7,$B$8,K$10:K54)</f>
        <v/>
      </c>
      <c r="J55" s="7">
        <f>I55-H55</f>
        <v/>
      </c>
      <c r="K55" s="7">
        <f>G55+SIN(3.14159*G55)</f>
        <v/>
      </c>
      <c r="L55" s="6" t="n">
        <v>46</v>
      </c>
      <c r="M55" s="6">
        <f>IF(J55&lt;=$B$6,"СТОП: f*-p̂ &lt;= eps","испытание")</f>
        <v/>
      </c>
    </row>
    <row r="56">
      <c r="A56" s="8" t="n">
        <v>46</v>
      </c>
      <c r="B56" s="8" t="inlineStr">
        <is>
          <t>22 и 32</t>
        </is>
      </c>
      <c r="C56" s="9">
        <f>$G$31</f>
        <v/>
      </c>
      <c r="D56" s="9">
        <f>$K$31</f>
        <v/>
      </c>
      <c r="E56" s="9">
        <f>$G$41</f>
        <v/>
      </c>
      <c r="F56" s="9">
        <f>$K$41</f>
        <v/>
      </c>
      <c r="G56" s="9">
        <f>(C56+E56)/2+(D56-F56)/(2*$B$5)</f>
        <v/>
      </c>
      <c r="H56" s="9">
        <f>(D56+F56)/2-$B$5*(E56-C56)/2</f>
        <v/>
      </c>
      <c r="I56" s="9">
        <f>MIN($B$7,$B$8,K$10:K55)</f>
        <v/>
      </c>
      <c r="J56" s="9">
        <f>I56-H56</f>
        <v/>
      </c>
      <c r="K56" s="9" t="n"/>
      <c r="L56" s="8" t="n"/>
      <c r="M56" s="8">
        <f>IF(J56&lt;=$B$6,"СТОП: f*-p̂ &lt;= eps","испытание")</f>
        <v/>
      </c>
    </row>
    <row r="58">
      <c r="A58" s="10" t="inlineStr">
        <is>
          <t>Ответ</t>
        </is>
      </c>
    </row>
    <row r="59">
      <c r="A59" s="2" t="inlineStr">
        <is>
          <t>f(x*) ≈</t>
        </is>
      </c>
      <c r="B59" s="11">
        <f>I56</f>
        <v/>
      </c>
    </row>
    <row r="60">
      <c r="A60" s="2" t="inlineStr">
        <is>
          <t>x* ≈</t>
        </is>
      </c>
      <c r="B60" s="11">
        <f>INDEX(G11:G55,MATCH(I56,K11:K55,0))</f>
        <v/>
      </c>
    </row>
    <row r="61">
      <c r="A61" s="2" t="inlineStr">
        <is>
          <t>итераций</t>
        </is>
      </c>
      <c r="B61" s="12">
        <f>COUNT(K11:K56)</f>
        <v/>
      </c>
    </row>
    <row r="62">
      <c r="A62" s="2" t="inlineStr">
        <is>
          <t>точность f* − p̂</t>
        </is>
      </c>
      <c r="B62" s="11">
        <f>J56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f(x)</t>
        </is>
      </c>
    </row>
    <row r="2">
      <c r="A2">
        <f>-3+0.025*0</f>
        <v/>
      </c>
      <c r="B2">
        <f>A2+SIN(3.14159*A2)</f>
        <v/>
      </c>
    </row>
    <row r="3">
      <c r="A3">
        <f>-3+0.025*1</f>
        <v/>
      </c>
      <c r="B3">
        <f>A3+SIN(3.14159*A3)</f>
        <v/>
      </c>
    </row>
    <row r="4">
      <c r="A4">
        <f>-3+0.025*2</f>
        <v/>
      </c>
      <c r="B4">
        <f>A4+SIN(3.14159*A4)</f>
        <v/>
      </c>
    </row>
    <row r="5">
      <c r="A5">
        <f>-3+0.025*3</f>
        <v/>
      </c>
      <c r="B5">
        <f>A5+SIN(3.14159*A5)</f>
        <v/>
      </c>
    </row>
    <row r="6">
      <c r="A6">
        <f>-3+0.025*4</f>
        <v/>
      </c>
      <c r="B6">
        <f>A6+SIN(3.14159*A6)</f>
        <v/>
      </c>
    </row>
    <row r="7">
      <c r="A7">
        <f>-3+0.025*5</f>
        <v/>
      </c>
      <c r="B7">
        <f>A7+SIN(3.14159*A7)</f>
        <v/>
      </c>
    </row>
    <row r="8">
      <c r="A8">
        <f>-3+0.025*6</f>
        <v/>
      </c>
      <c r="B8">
        <f>A8+SIN(3.14159*A8)</f>
        <v/>
      </c>
    </row>
    <row r="9">
      <c r="A9">
        <f>-3+0.025*7</f>
        <v/>
      </c>
      <c r="B9">
        <f>A9+SIN(3.14159*A9)</f>
        <v/>
      </c>
    </row>
    <row r="10">
      <c r="A10">
        <f>-3+0.025*8</f>
        <v/>
      </c>
      <c r="B10">
        <f>A10+SIN(3.14159*A10)</f>
        <v/>
      </c>
    </row>
    <row r="11">
      <c r="A11">
        <f>-3+0.025*9</f>
        <v/>
      </c>
      <c r="B11">
        <f>A11+SIN(3.14159*A11)</f>
        <v/>
      </c>
    </row>
    <row r="12">
      <c r="A12">
        <f>-3+0.025*10</f>
        <v/>
      </c>
      <c r="B12">
        <f>A12+SIN(3.14159*A12)</f>
        <v/>
      </c>
    </row>
    <row r="13">
      <c r="A13">
        <f>-3+0.025*11</f>
        <v/>
      </c>
      <c r="B13">
        <f>A13+SIN(3.14159*A13)</f>
        <v/>
      </c>
    </row>
    <row r="14">
      <c r="A14">
        <f>-3+0.025*12</f>
        <v/>
      </c>
      <c r="B14">
        <f>A14+SIN(3.14159*A14)</f>
        <v/>
      </c>
    </row>
    <row r="15">
      <c r="A15">
        <f>-3+0.025*13</f>
        <v/>
      </c>
      <c r="B15">
        <f>A15+SIN(3.14159*A15)</f>
        <v/>
      </c>
    </row>
    <row r="16">
      <c r="A16">
        <f>-3+0.025*14</f>
        <v/>
      </c>
      <c r="B16">
        <f>A16+SIN(3.14159*A16)</f>
        <v/>
      </c>
    </row>
    <row r="17">
      <c r="A17">
        <f>-3+0.025*15</f>
        <v/>
      </c>
      <c r="B17">
        <f>A17+SIN(3.14159*A17)</f>
        <v/>
      </c>
    </row>
    <row r="18">
      <c r="A18">
        <f>-3+0.025*16</f>
        <v/>
      </c>
      <c r="B18">
        <f>A18+SIN(3.14159*A18)</f>
        <v/>
      </c>
    </row>
    <row r="19">
      <c r="A19">
        <f>-3+0.025*17</f>
        <v/>
      </c>
      <c r="B19">
        <f>A19+SIN(3.14159*A19)</f>
        <v/>
      </c>
    </row>
    <row r="20">
      <c r="A20">
        <f>-3+0.025*18</f>
        <v/>
      </c>
      <c r="B20">
        <f>A20+SIN(3.14159*A20)</f>
        <v/>
      </c>
    </row>
    <row r="21">
      <c r="A21">
        <f>-3+0.025*19</f>
        <v/>
      </c>
      <c r="B21">
        <f>A21+SIN(3.14159*A21)</f>
        <v/>
      </c>
    </row>
    <row r="22">
      <c r="A22">
        <f>-3+0.025*20</f>
        <v/>
      </c>
      <c r="B22">
        <f>A22+SIN(3.14159*A22)</f>
        <v/>
      </c>
    </row>
    <row r="23">
      <c r="A23">
        <f>-3+0.025*21</f>
        <v/>
      </c>
      <c r="B23">
        <f>A23+SIN(3.14159*A23)</f>
        <v/>
      </c>
    </row>
    <row r="24">
      <c r="A24">
        <f>-3+0.025*22</f>
        <v/>
      </c>
      <c r="B24">
        <f>A24+SIN(3.14159*A24)</f>
        <v/>
      </c>
    </row>
    <row r="25">
      <c r="A25">
        <f>-3+0.025*23</f>
        <v/>
      </c>
      <c r="B25">
        <f>A25+SIN(3.14159*A25)</f>
        <v/>
      </c>
    </row>
    <row r="26">
      <c r="A26">
        <f>-3+0.025*24</f>
        <v/>
      </c>
      <c r="B26">
        <f>A26+SIN(3.14159*A26)</f>
        <v/>
      </c>
    </row>
    <row r="27">
      <c r="A27">
        <f>-3+0.025*25</f>
        <v/>
      </c>
      <c r="B27">
        <f>A27+SIN(3.14159*A27)</f>
        <v/>
      </c>
    </row>
    <row r="28">
      <c r="A28">
        <f>-3+0.025*26</f>
        <v/>
      </c>
      <c r="B28">
        <f>A28+SIN(3.14159*A28)</f>
        <v/>
      </c>
    </row>
    <row r="29">
      <c r="A29">
        <f>-3+0.025*27</f>
        <v/>
      </c>
      <c r="B29">
        <f>A29+SIN(3.14159*A29)</f>
        <v/>
      </c>
    </row>
    <row r="30">
      <c r="A30">
        <f>-3+0.025*28</f>
        <v/>
      </c>
      <c r="B30">
        <f>A30+SIN(3.14159*A30)</f>
        <v/>
      </c>
    </row>
    <row r="31">
      <c r="A31">
        <f>-3+0.025*29</f>
        <v/>
      </c>
      <c r="B31">
        <f>A31+SIN(3.14159*A31)</f>
        <v/>
      </c>
    </row>
    <row r="32">
      <c r="A32">
        <f>-3+0.025*30</f>
        <v/>
      </c>
      <c r="B32">
        <f>A32+SIN(3.14159*A32)</f>
        <v/>
      </c>
    </row>
    <row r="33">
      <c r="A33">
        <f>-3+0.025*31</f>
        <v/>
      </c>
      <c r="B33">
        <f>A33+SIN(3.14159*A33)</f>
        <v/>
      </c>
    </row>
    <row r="34">
      <c r="A34">
        <f>-3+0.025*32</f>
        <v/>
      </c>
      <c r="B34">
        <f>A34+SIN(3.14159*A34)</f>
        <v/>
      </c>
    </row>
    <row r="35">
      <c r="A35">
        <f>-3+0.025*33</f>
        <v/>
      </c>
      <c r="B35">
        <f>A35+SIN(3.14159*A35)</f>
        <v/>
      </c>
    </row>
    <row r="36">
      <c r="A36">
        <f>-3+0.025*34</f>
        <v/>
      </c>
      <c r="B36">
        <f>A36+SIN(3.14159*A36)</f>
        <v/>
      </c>
    </row>
    <row r="37">
      <c r="A37">
        <f>-3+0.025*35</f>
        <v/>
      </c>
      <c r="B37">
        <f>A37+SIN(3.14159*A37)</f>
        <v/>
      </c>
    </row>
    <row r="38">
      <c r="A38">
        <f>-3+0.025*36</f>
        <v/>
      </c>
      <c r="B38">
        <f>A38+SIN(3.14159*A38)</f>
        <v/>
      </c>
    </row>
    <row r="39">
      <c r="A39">
        <f>-3+0.025*37</f>
        <v/>
      </c>
      <c r="B39">
        <f>A39+SIN(3.14159*A39)</f>
        <v/>
      </c>
    </row>
    <row r="40">
      <c r="A40">
        <f>-3+0.025*38</f>
        <v/>
      </c>
      <c r="B40">
        <f>A40+SIN(3.14159*A40)</f>
        <v/>
      </c>
    </row>
    <row r="41">
      <c r="A41">
        <f>-3+0.025*39</f>
        <v/>
      </c>
      <c r="B41">
        <f>A41+SIN(3.14159*A41)</f>
        <v/>
      </c>
    </row>
    <row r="42">
      <c r="A42">
        <f>-3+0.025*40</f>
        <v/>
      </c>
      <c r="B42">
        <f>A42+SIN(3.14159*A42)</f>
        <v/>
      </c>
    </row>
    <row r="43">
      <c r="A43">
        <f>-3+0.025*41</f>
        <v/>
      </c>
      <c r="B43">
        <f>A43+SIN(3.14159*A43)</f>
        <v/>
      </c>
    </row>
    <row r="44">
      <c r="A44">
        <f>-3+0.025*42</f>
        <v/>
      </c>
      <c r="B44">
        <f>A44+SIN(3.14159*A44)</f>
        <v/>
      </c>
    </row>
    <row r="45">
      <c r="A45">
        <f>-3+0.025*43</f>
        <v/>
      </c>
      <c r="B45">
        <f>A45+SIN(3.14159*A45)</f>
        <v/>
      </c>
    </row>
    <row r="46">
      <c r="A46">
        <f>-3+0.025*44</f>
        <v/>
      </c>
      <c r="B46">
        <f>A46+SIN(3.14159*A46)</f>
        <v/>
      </c>
    </row>
    <row r="47">
      <c r="A47">
        <f>-3+0.025*45</f>
        <v/>
      </c>
      <c r="B47">
        <f>A47+SIN(3.14159*A47)</f>
        <v/>
      </c>
    </row>
    <row r="48">
      <c r="A48">
        <f>-3+0.025*46</f>
        <v/>
      </c>
      <c r="B48">
        <f>A48+SIN(3.14159*A48)</f>
        <v/>
      </c>
    </row>
    <row r="49">
      <c r="A49">
        <f>-3+0.025*47</f>
        <v/>
      </c>
      <c r="B49">
        <f>A49+SIN(3.14159*A49)</f>
        <v/>
      </c>
    </row>
    <row r="50">
      <c r="A50">
        <f>-3+0.025*48</f>
        <v/>
      </c>
      <c r="B50">
        <f>A50+SIN(3.14159*A50)</f>
        <v/>
      </c>
    </row>
    <row r="51">
      <c r="A51">
        <f>-3+0.025*49</f>
        <v/>
      </c>
      <c r="B51">
        <f>A51+SIN(3.14159*A51)</f>
        <v/>
      </c>
    </row>
    <row r="52">
      <c r="A52">
        <f>-3+0.025*50</f>
        <v/>
      </c>
      <c r="B52">
        <f>A52+SIN(3.14159*A52)</f>
        <v/>
      </c>
    </row>
    <row r="53">
      <c r="A53">
        <f>-3+0.025*51</f>
        <v/>
      </c>
      <c r="B53">
        <f>A53+SIN(3.14159*A53)</f>
        <v/>
      </c>
    </row>
    <row r="54">
      <c r="A54">
        <f>-3+0.025*52</f>
        <v/>
      </c>
      <c r="B54">
        <f>A54+SIN(3.14159*A54)</f>
        <v/>
      </c>
    </row>
    <row r="55">
      <c r="A55">
        <f>-3+0.025*53</f>
        <v/>
      </c>
      <c r="B55">
        <f>A55+SIN(3.14159*A55)</f>
        <v/>
      </c>
    </row>
    <row r="56">
      <c r="A56">
        <f>-3+0.025*54</f>
        <v/>
      </c>
      <c r="B56">
        <f>A56+SIN(3.14159*A56)</f>
        <v/>
      </c>
    </row>
    <row r="57">
      <c r="A57">
        <f>-3+0.025*55</f>
        <v/>
      </c>
      <c r="B57">
        <f>A57+SIN(3.14159*A57)</f>
        <v/>
      </c>
    </row>
    <row r="58">
      <c r="A58">
        <f>-3+0.025*56</f>
        <v/>
      </c>
      <c r="B58">
        <f>A58+SIN(3.14159*A58)</f>
        <v/>
      </c>
    </row>
    <row r="59">
      <c r="A59">
        <f>-3+0.025*57</f>
        <v/>
      </c>
      <c r="B59">
        <f>A59+SIN(3.14159*A59)</f>
        <v/>
      </c>
    </row>
    <row r="60">
      <c r="A60">
        <f>-3+0.025*58</f>
        <v/>
      </c>
      <c r="B60">
        <f>A60+SIN(3.14159*A60)</f>
        <v/>
      </c>
    </row>
    <row r="61">
      <c r="A61">
        <f>-3+0.025*59</f>
        <v/>
      </c>
      <c r="B61">
        <f>A61+SIN(3.14159*A61)</f>
        <v/>
      </c>
    </row>
    <row r="62">
      <c r="A62">
        <f>-3+0.025*60</f>
        <v/>
      </c>
      <c r="B62">
        <f>A62+SIN(3.14159*A62)</f>
        <v/>
      </c>
    </row>
    <row r="63">
      <c r="A63">
        <f>-3+0.025*61</f>
        <v/>
      </c>
      <c r="B63">
        <f>A63+SIN(3.14159*A63)</f>
        <v/>
      </c>
    </row>
    <row r="64">
      <c r="A64">
        <f>-3+0.025*62</f>
        <v/>
      </c>
      <c r="B64">
        <f>A64+SIN(3.14159*A64)</f>
        <v/>
      </c>
    </row>
    <row r="65">
      <c r="A65">
        <f>-3+0.025*63</f>
        <v/>
      </c>
      <c r="B65">
        <f>A65+SIN(3.14159*A65)</f>
        <v/>
      </c>
    </row>
    <row r="66">
      <c r="A66">
        <f>-3+0.025*64</f>
        <v/>
      </c>
      <c r="B66">
        <f>A66+SIN(3.14159*A66)</f>
        <v/>
      </c>
    </row>
    <row r="67">
      <c r="A67">
        <f>-3+0.025*65</f>
        <v/>
      </c>
      <c r="B67">
        <f>A67+SIN(3.14159*A67)</f>
        <v/>
      </c>
    </row>
    <row r="68">
      <c r="A68">
        <f>-3+0.025*66</f>
        <v/>
      </c>
      <c r="B68">
        <f>A68+SIN(3.14159*A68)</f>
        <v/>
      </c>
    </row>
    <row r="69">
      <c r="A69">
        <f>-3+0.025*67</f>
        <v/>
      </c>
      <c r="B69">
        <f>A69+SIN(3.14159*A69)</f>
        <v/>
      </c>
    </row>
    <row r="70">
      <c r="A70">
        <f>-3+0.025*68</f>
        <v/>
      </c>
      <c r="B70">
        <f>A70+SIN(3.14159*A70)</f>
        <v/>
      </c>
    </row>
    <row r="71">
      <c r="A71">
        <f>-3+0.025*69</f>
        <v/>
      </c>
      <c r="B71">
        <f>A71+SIN(3.14159*A71)</f>
        <v/>
      </c>
    </row>
    <row r="72">
      <c r="A72">
        <f>-3+0.025*70</f>
        <v/>
      </c>
      <c r="B72">
        <f>A72+SIN(3.14159*A72)</f>
        <v/>
      </c>
    </row>
    <row r="73">
      <c r="A73">
        <f>-3+0.025*71</f>
        <v/>
      </c>
      <c r="B73">
        <f>A73+SIN(3.14159*A73)</f>
        <v/>
      </c>
    </row>
    <row r="74">
      <c r="A74">
        <f>-3+0.025*72</f>
        <v/>
      </c>
      <c r="B74">
        <f>A74+SIN(3.14159*A74)</f>
        <v/>
      </c>
    </row>
    <row r="75">
      <c r="A75">
        <f>-3+0.025*73</f>
        <v/>
      </c>
      <c r="B75">
        <f>A75+SIN(3.14159*A75)</f>
        <v/>
      </c>
    </row>
    <row r="76">
      <c r="A76">
        <f>-3+0.025*74</f>
        <v/>
      </c>
      <c r="B76">
        <f>A76+SIN(3.14159*A76)</f>
        <v/>
      </c>
    </row>
    <row r="77">
      <c r="A77">
        <f>-3+0.025*75</f>
        <v/>
      </c>
      <c r="B77">
        <f>A77+SIN(3.14159*A77)</f>
        <v/>
      </c>
    </row>
    <row r="78">
      <c r="A78">
        <f>-3+0.025*76</f>
        <v/>
      </c>
      <c r="B78">
        <f>A78+SIN(3.14159*A78)</f>
        <v/>
      </c>
    </row>
    <row r="79">
      <c r="A79">
        <f>-3+0.025*77</f>
        <v/>
      </c>
      <c r="B79">
        <f>A79+SIN(3.14159*A79)</f>
        <v/>
      </c>
    </row>
    <row r="80">
      <c r="A80">
        <f>-3+0.025*78</f>
        <v/>
      </c>
      <c r="B80">
        <f>A80+SIN(3.14159*A80)</f>
        <v/>
      </c>
    </row>
    <row r="81">
      <c r="A81">
        <f>-3+0.025*79</f>
        <v/>
      </c>
      <c r="B81">
        <f>A81+SIN(3.14159*A81)</f>
        <v/>
      </c>
    </row>
    <row r="82">
      <c r="A82">
        <f>-3+0.025*80</f>
        <v/>
      </c>
      <c r="B82">
        <f>A82+SIN(3.14159*A82)</f>
        <v/>
      </c>
    </row>
    <row r="83">
      <c r="A83">
        <f>-3+0.025*81</f>
        <v/>
      </c>
      <c r="B83">
        <f>A83+SIN(3.14159*A83)</f>
        <v/>
      </c>
    </row>
    <row r="84">
      <c r="A84">
        <f>-3+0.025*82</f>
        <v/>
      </c>
      <c r="B84">
        <f>A84+SIN(3.14159*A84)</f>
        <v/>
      </c>
    </row>
    <row r="85">
      <c r="A85">
        <f>-3+0.025*83</f>
        <v/>
      </c>
      <c r="B85">
        <f>A85+SIN(3.14159*A85)</f>
        <v/>
      </c>
    </row>
    <row r="86">
      <c r="A86">
        <f>-3+0.025*84</f>
        <v/>
      </c>
      <c r="B86">
        <f>A86+SIN(3.14159*A86)</f>
        <v/>
      </c>
    </row>
    <row r="87">
      <c r="A87">
        <f>-3+0.025*85</f>
        <v/>
      </c>
      <c r="B87">
        <f>A87+SIN(3.14159*A87)</f>
        <v/>
      </c>
    </row>
    <row r="88">
      <c r="A88">
        <f>-3+0.025*86</f>
        <v/>
      </c>
      <c r="B88">
        <f>A88+SIN(3.14159*A88)</f>
        <v/>
      </c>
    </row>
    <row r="89">
      <c r="A89">
        <f>-3+0.025*87</f>
        <v/>
      </c>
      <c r="B89">
        <f>A89+SIN(3.14159*A89)</f>
        <v/>
      </c>
    </row>
    <row r="90">
      <c r="A90">
        <f>-3+0.025*88</f>
        <v/>
      </c>
      <c r="B90">
        <f>A90+SIN(3.14159*A90)</f>
        <v/>
      </c>
    </row>
    <row r="91">
      <c r="A91">
        <f>-3+0.025*89</f>
        <v/>
      </c>
      <c r="B91">
        <f>A91+SIN(3.14159*A91)</f>
        <v/>
      </c>
    </row>
    <row r="92">
      <c r="A92">
        <f>-3+0.025*90</f>
        <v/>
      </c>
      <c r="B92">
        <f>A92+SIN(3.14159*A92)</f>
        <v/>
      </c>
    </row>
    <row r="93">
      <c r="A93">
        <f>-3+0.025*91</f>
        <v/>
      </c>
      <c r="B93">
        <f>A93+SIN(3.14159*A93)</f>
        <v/>
      </c>
    </row>
    <row r="94">
      <c r="A94">
        <f>-3+0.025*92</f>
        <v/>
      </c>
      <c r="B94">
        <f>A94+SIN(3.14159*A94)</f>
        <v/>
      </c>
    </row>
    <row r="95">
      <c r="A95">
        <f>-3+0.025*93</f>
        <v/>
      </c>
      <c r="B95">
        <f>A95+SIN(3.14159*A95)</f>
        <v/>
      </c>
    </row>
    <row r="96">
      <c r="A96">
        <f>-3+0.025*94</f>
        <v/>
      </c>
      <c r="B96">
        <f>A96+SIN(3.14159*A96)</f>
        <v/>
      </c>
    </row>
    <row r="97">
      <c r="A97">
        <f>-3+0.025*95</f>
        <v/>
      </c>
      <c r="B97">
        <f>A97+SIN(3.14159*A97)</f>
        <v/>
      </c>
    </row>
    <row r="98">
      <c r="A98">
        <f>-3+0.025*96</f>
        <v/>
      </c>
      <c r="B98">
        <f>A98+SIN(3.14159*A98)</f>
        <v/>
      </c>
    </row>
    <row r="99">
      <c r="A99">
        <f>-3+0.025*97</f>
        <v/>
      </c>
      <c r="B99">
        <f>A99+SIN(3.14159*A99)</f>
        <v/>
      </c>
    </row>
    <row r="100">
      <c r="A100">
        <f>-3+0.025*98</f>
        <v/>
      </c>
      <c r="B100">
        <f>A100+SIN(3.14159*A100)</f>
        <v/>
      </c>
    </row>
    <row r="101">
      <c r="A101">
        <f>-3+0.025*99</f>
        <v/>
      </c>
      <c r="B101">
        <f>A101+SIN(3.14159*A101)</f>
        <v/>
      </c>
    </row>
    <row r="102">
      <c r="A102">
        <f>-3+0.025*100</f>
        <v/>
      </c>
      <c r="B102">
        <f>A102+SIN(3.14159*A102)</f>
        <v/>
      </c>
    </row>
    <row r="103">
      <c r="A103">
        <f>-3+0.025*101</f>
        <v/>
      </c>
      <c r="B103">
        <f>A103+SIN(3.14159*A103)</f>
        <v/>
      </c>
    </row>
    <row r="104">
      <c r="A104">
        <f>-3+0.025*102</f>
        <v/>
      </c>
      <c r="B104">
        <f>A104+SIN(3.14159*A104)</f>
        <v/>
      </c>
    </row>
    <row r="105">
      <c r="A105">
        <f>-3+0.025*103</f>
        <v/>
      </c>
      <c r="B105">
        <f>A105+SIN(3.14159*A105)</f>
        <v/>
      </c>
    </row>
    <row r="106">
      <c r="A106">
        <f>-3+0.025*104</f>
        <v/>
      </c>
      <c r="B106">
        <f>A106+SIN(3.14159*A106)</f>
        <v/>
      </c>
    </row>
    <row r="107">
      <c r="A107">
        <f>-3+0.025*105</f>
        <v/>
      </c>
      <c r="B107">
        <f>A107+SIN(3.14159*A107)</f>
        <v/>
      </c>
    </row>
    <row r="108">
      <c r="A108">
        <f>-3+0.025*106</f>
        <v/>
      </c>
      <c r="B108">
        <f>A108+SIN(3.14159*A108)</f>
        <v/>
      </c>
    </row>
    <row r="109">
      <c r="A109">
        <f>-3+0.025*107</f>
        <v/>
      </c>
      <c r="B109">
        <f>A109+SIN(3.14159*A109)</f>
        <v/>
      </c>
    </row>
    <row r="110">
      <c r="A110">
        <f>-3+0.025*108</f>
        <v/>
      </c>
      <c r="B110">
        <f>A110+SIN(3.14159*A110)</f>
        <v/>
      </c>
    </row>
    <row r="111">
      <c r="A111">
        <f>-3+0.025*109</f>
        <v/>
      </c>
      <c r="B111">
        <f>A111+SIN(3.14159*A111)</f>
        <v/>
      </c>
    </row>
    <row r="112">
      <c r="A112">
        <f>-3+0.025*110</f>
        <v/>
      </c>
      <c r="B112">
        <f>A112+SIN(3.14159*A112)</f>
        <v/>
      </c>
    </row>
    <row r="113">
      <c r="A113">
        <f>-3+0.025*111</f>
        <v/>
      </c>
      <c r="B113">
        <f>A113+SIN(3.14159*A113)</f>
        <v/>
      </c>
    </row>
    <row r="114">
      <c r="A114">
        <f>-3+0.025*112</f>
        <v/>
      </c>
      <c r="B114">
        <f>A114+SIN(3.14159*A114)</f>
        <v/>
      </c>
    </row>
    <row r="115">
      <c r="A115">
        <f>-3+0.025*113</f>
        <v/>
      </c>
      <c r="B115">
        <f>A115+SIN(3.14159*A115)</f>
        <v/>
      </c>
    </row>
    <row r="116">
      <c r="A116">
        <f>-3+0.025*114</f>
        <v/>
      </c>
      <c r="B116">
        <f>A116+SIN(3.14159*A116)</f>
        <v/>
      </c>
    </row>
    <row r="117">
      <c r="A117">
        <f>-3+0.025*115</f>
        <v/>
      </c>
      <c r="B117">
        <f>A117+SIN(3.14159*A117)</f>
        <v/>
      </c>
    </row>
    <row r="118">
      <c r="A118">
        <f>-3+0.025*116</f>
        <v/>
      </c>
      <c r="B118">
        <f>A118+SIN(3.14159*A118)</f>
        <v/>
      </c>
    </row>
    <row r="119">
      <c r="A119">
        <f>-3+0.025*117</f>
        <v/>
      </c>
      <c r="B119">
        <f>A119+SIN(3.14159*A119)</f>
        <v/>
      </c>
    </row>
    <row r="120">
      <c r="A120">
        <f>-3+0.025*118</f>
        <v/>
      </c>
      <c r="B120">
        <f>A120+SIN(3.14159*A120)</f>
        <v/>
      </c>
    </row>
    <row r="121">
      <c r="A121">
        <f>-3+0.025*119</f>
        <v/>
      </c>
      <c r="B121">
        <f>A121+SIN(3.14159*A121)</f>
        <v/>
      </c>
    </row>
    <row r="122">
      <c r="A122">
        <f>-3+0.025*120</f>
        <v/>
      </c>
      <c r="B122">
        <f>A122+SIN(3.14159*A122)</f>
        <v/>
      </c>
    </row>
    <row r="123">
      <c r="A123">
        <f>-3+0.025*121</f>
        <v/>
      </c>
      <c r="B123">
        <f>A123+SIN(3.14159*A123)</f>
        <v/>
      </c>
    </row>
    <row r="124">
      <c r="A124">
        <f>-3+0.025*122</f>
        <v/>
      </c>
      <c r="B124">
        <f>A124+SIN(3.14159*A124)</f>
        <v/>
      </c>
    </row>
    <row r="125">
      <c r="A125">
        <f>-3+0.025*123</f>
        <v/>
      </c>
      <c r="B125">
        <f>A125+SIN(3.14159*A125)</f>
        <v/>
      </c>
    </row>
    <row r="126">
      <c r="A126">
        <f>-3+0.025*124</f>
        <v/>
      </c>
      <c r="B126">
        <f>A126+SIN(3.14159*A126)</f>
        <v/>
      </c>
    </row>
    <row r="127">
      <c r="A127">
        <f>-3+0.025*125</f>
        <v/>
      </c>
      <c r="B127">
        <f>A127+SIN(3.14159*A127)</f>
        <v/>
      </c>
    </row>
    <row r="128">
      <c r="A128">
        <f>-3+0.025*126</f>
        <v/>
      </c>
      <c r="B128">
        <f>A128+SIN(3.14159*A128)</f>
        <v/>
      </c>
    </row>
    <row r="129">
      <c r="A129">
        <f>-3+0.025*127</f>
        <v/>
      </c>
      <c r="B129">
        <f>A129+SIN(3.14159*A129)</f>
        <v/>
      </c>
    </row>
    <row r="130">
      <c r="A130">
        <f>-3+0.025*128</f>
        <v/>
      </c>
      <c r="B130">
        <f>A130+SIN(3.14159*A130)</f>
        <v/>
      </c>
    </row>
    <row r="131">
      <c r="A131">
        <f>-3+0.025*129</f>
        <v/>
      </c>
      <c r="B131">
        <f>A131+SIN(3.14159*A131)</f>
        <v/>
      </c>
    </row>
    <row r="132">
      <c r="A132">
        <f>-3+0.025*130</f>
        <v/>
      </c>
      <c r="B132">
        <f>A132+SIN(3.14159*A132)</f>
        <v/>
      </c>
    </row>
    <row r="133">
      <c r="A133">
        <f>-3+0.025*131</f>
        <v/>
      </c>
      <c r="B133">
        <f>A133+SIN(3.14159*A133)</f>
        <v/>
      </c>
    </row>
    <row r="134">
      <c r="A134">
        <f>-3+0.025*132</f>
        <v/>
      </c>
      <c r="B134">
        <f>A134+SIN(3.14159*A134)</f>
        <v/>
      </c>
    </row>
    <row r="135">
      <c r="A135">
        <f>-3+0.025*133</f>
        <v/>
      </c>
      <c r="B135">
        <f>A135+SIN(3.14159*A135)</f>
        <v/>
      </c>
    </row>
    <row r="136">
      <c r="A136">
        <f>-3+0.025*134</f>
        <v/>
      </c>
      <c r="B136">
        <f>A136+SIN(3.14159*A136)</f>
        <v/>
      </c>
    </row>
    <row r="137">
      <c r="A137">
        <f>-3+0.025*135</f>
        <v/>
      </c>
      <c r="B137">
        <f>A137+SIN(3.14159*A137)</f>
        <v/>
      </c>
    </row>
    <row r="138">
      <c r="A138">
        <f>-3+0.025*136</f>
        <v/>
      </c>
      <c r="B138">
        <f>A138+SIN(3.14159*A138)</f>
        <v/>
      </c>
    </row>
    <row r="139">
      <c r="A139">
        <f>-3+0.025*137</f>
        <v/>
      </c>
      <c r="B139">
        <f>A139+SIN(3.14159*A139)</f>
        <v/>
      </c>
    </row>
    <row r="140">
      <c r="A140">
        <f>-3+0.025*138</f>
        <v/>
      </c>
      <c r="B140">
        <f>A140+SIN(3.14159*A140)</f>
        <v/>
      </c>
    </row>
    <row r="141">
      <c r="A141">
        <f>-3+0.025*139</f>
        <v/>
      </c>
      <c r="B141">
        <f>A141+SIN(3.14159*A141)</f>
        <v/>
      </c>
    </row>
    <row r="142">
      <c r="A142">
        <f>-3+0.025*140</f>
        <v/>
      </c>
      <c r="B142">
        <f>A142+SIN(3.14159*A142)</f>
        <v/>
      </c>
    </row>
    <row r="143">
      <c r="A143">
        <f>-3+0.025*141</f>
        <v/>
      </c>
      <c r="B143">
        <f>A143+SIN(3.14159*A143)</f>
        <v/>
      </c>
    </row>
    <row r="144">
      <c r="A144">
        <f>-3+0.025*142</f>
        <v/>
      </c>
      <c r="B144">
        <f>A144+SIN(3.14159*A144)</f>
        <v/>
      </c>
    </row>
    <row r="145">
      <c r="A145">
        <f>-3+0.025*143</f>
        <v/>
      </c>
      <c r="B145">
        <f>A145+SIN(3.14159*A145)</f>
        <v/>
      </c>
    </row>
    <row r="146">
      <c r="A146">
        <f>-3+0.025*144</f>
        <v/>
      </c>
      <c r="B146">
        <f>A146+SIN(3.14159*A146)</f>
        <v/>
      </c>
    </row>
    <row r="147">
      <c r="A147">
        <f>-3+0.025*145</f>
        <v/>
      </c>
      <c r="B147">
        <f>A147+SIN(3.14159*A147)</f>
        <v/>
      </c>
    </row>
    <row r="148">
      <c r="A148">
        <f>-3+0.025*146</f>
        <v/>
      </c>
      <c r="B148">
        <f>A148+SIN(3.14159*A148)</f>
        <v/>
      </c>
    </row>
    <row r="149">
      <c r="A149">
        <f>-3+0.025*147</f>
        <v/>
      </c>
      <c r="B149">
        <f>A149+SIN(3.14159*A149)</f>
        <v/>
      </c>
    </row>
    <row r="150">
      <c r="A150">
        <f>-3+0.025*148</f>
        <v/>
      </c>
      <c r="B150">
        <f>A150+SIN(3.14159*A150)</f>
        <v/>
      </c>
    </row>
    <row r="151">
      <c r="A151">
        <f>-3+0.025*149</f>
        <v/>
      </c>
      <c r="B151">
        <f>A151+SIN(3.14159*A151)</f>
        <v/>
      </c>
    </row>
    <row r="152">
      <c r="A152">
        <f>-3+0.025*150</f>
        <v/>
      </c>
      <c r="B152">
        <f>A152+SIN(3.14159*A152)</f>
        <v/>
      </c>
    </row>
    <row r="153">
      <c r="A153">
        <f>-3+0.025*151</f>
        <v/>
      </c>
      <c r="B153">
        <f>A153+SIN(3.14159*A153)</f>
        <v/>
      </c>
    </row>
    <row r="154">
      <c r="A154">
        <f>-3+0.025*152</f>
        <v/>
      </c>
      <c r="B154">
        <f>A154+SIN(3.14159*A154)</f>
        <v/>
      </c>
    </row>
    <row r="155">
      <c r="A155">
        <f>-3+0.025*153</f>
        <v/>
      </c>
      <c r="B155">
        <f>A155+SIN(3.14159*A155)</f>
        <v/>
      </c>
    </row>
    <row r="156">
      <c r="A156">
        <f>-3+0.025*154</f>
        <v/>
      </c>
      <c r="B156">
        <f>A156+SIN(3.14159*A156)</f>
        <v/>
      </c>
    </row>
    <row r="157">
      <c r="A157">
        <f>-3+0.025*155</f>
        <v/>
      </c>
      <c r="B157">
        <f>A157+SIN(3.14159*A157)</f>
        <v/>
      </c>
    </row>
    <row r="158">
      <c r="A158">
        <f>-3+0.025*156</f>
        <v/>
      </c>
      <c r="B158">
        <f>A158+SIN(3.14159*A158)</f>
        <v/>
      </c>
    </row>
    <row r="159">
      <c r="A159">
        <f>-3+0.025*157</f>
        <v/>
      </c>
      <c r="B159">
        <f>A159+SIN(3.14159*A159)</f>
        <v/>
      </c>
    </row>
    <row r="160">
      <c r="A160">
        <f>-3+0.025*158</f>
        <v/>
      </c>
      <c r="B160">
        <f>A160+SIN(3.14159*A160)</f>
        <v/>
      </c>
    </row>
    <row r="161">
      <c r="A161">
        <f>-3+0.025*159</f>
        <v/>
      </c>
      <c r="B161">
        <f>A161+SIN(3.14159*A161)</f>
        <v/>
      </c>
    </row>
    <row r="162">
      <c r="A162">
        <f>-3+0.025*160</f>
        <v/>
      </c>
      <c r="B162">
        <f>A162+SIN(3.14159*A162)</f>
        <v/>
      </c>
    </row>
    <row r="163">
      <c r="A163">
        <f>-3+0.025*161</f>
        <v/>
      </c>
      <c r="B163">
        <f>A163+SIN(3.14159*A163)</f>
        <v/>
      </c>
    </row>
    <row r="164">
      <c r="A164">
        <f>-3+0.025*162</f>
        <v/>
      </c>
      <c r="B164">
        <f>A164+SIN(3.14159*A164)</f>
        <v/>
      </c>
    </row>
    <row r="165">
      <c r="A165">
        <f>-3+0.025*163</f>
        <v/>
      </c>
      <c r="B165">
        <f>A165+SIN(3.14159*A165)</f>
        <v/>
      </c>
    </row>
    <row r="166">
      <c r="A166">
        <f>-3+0.025*164</f>
        <v/>
      </c>
      <c r="B166">
        <f>A166+SIN(3.14159*A166)</f>
        <v/>
      </c>
    </row>
    <row r="167">
      <c r="A167">
        <f>-3+0.025*165</f>
        <v/>
      </c>
      <c r="B167">
        <f>A167+SIN(3.14159*A167)</f>
        <v/>
      </c>
    </row>
    <row r="168">
      <c r="A168">
        <f>-3+0.025*166</f>
        <v/>
      </c>
      <c r="B168">
        <f>A168+SIN(3.14159*A168)</f>
        <v/>
      </c>
    </row>
    <row r="169">
      <c r="A169">
        <f>-3+0.025*167</f>
        <v/>
      </c>
      <c r="B169">
        <f>A169+SIN(3.14159*A169)</f>
        <v/>
      </c>
    </row>
    <row r="170">
      <c r="A170">
        <f>-3+0.025*168</f>
        <v/>
      </c>
      <c r="B170">
        <f>A170+SIN(3.14159*A170)</f>
        <v/>
      </c>
    </row>
    <row r="171">
      <c r="A171">
        <f>-3+0.025*169</f>
        <v/>
      </c>
      <c r="B171">
        <f>A171+SIN(3.14159*A171)</f>
        <v/>
      </c>
    </row>
    <row r="172">
      <c r="A172">
        <f>-3+0.025*170</f>
        <v/>
      </c>
      <c r="B172">
        <f>A172+SIN(3.14159*A172)</f>
        <v/>
      </c>
    </row>
    <row r="173">
      <c r="A173">
        <f>-3+0.025*171</f>
        <v/>
      </c>
      <c r="B173">
        <f>A173+SIN(3.14159*A173)</f>
        <v/>
      </c>
    </row>
    <row r="174">
      <c r="A174">
        <f>-3+0.025*172</f>
        <v/>
      </c>
      <c r="B174">
        <f>A174+SIN(3.14159*A174)</f>
        <v/>
      </c>
    </row>
    <row r="175">
      <c r="A175">
        <f>-3+0.025*173</f>
        <v/>
      </c>
      <c r="B175">
        <f>A175+SIN(3.14159*A175)</f>
        <v/>
      </c>
    </row>
    <row r="176">
      <c r="A176">
        <f>-3+0.025*174</f>
        <v/>
      </c>
      <c r="B176">
        <f>A176+SIN(3.14159*A176)</f>
        <v/>
      </c>
    </row>
    <row r="177">
      <c r="A177">
        <f>-3+0.025*175</f>
        <v/>
      </c>
      <c r="B177">
        <f>A177+SIN(3.14159*A177)</f>
        <v/>
      </c>
    </row>
    <row r="178">
      <c r="A178">
        <f>-3+0.025*176</f>
        <v/>
      </c>
      <c r="B178">
        <f>A178+SIN(3.14159*A178)</f>
        <v/>
      </c>
    </row>
    <row r="179">
      <c r="A179">
        <f>-3+0.025*177</f>
        <v/>
      </c>
      <c r="B179">
        <f>A179+SIN(3.14159*A179)</f>
        <v/>
      </c>
    </row>
    <row r="180">
      <c r="A180">
        <f>-3+0.025*178</f>
        <v/>
      </c>
      <c r="B180">
        <f>A180+SIN(3.14159*A180)</f>
        <v/>
      </c>
    </row>
    <row r="181">
      <c r="A181">
        <f>-3+0.025*179</f>
        <v/>
      </c>
      <c r="B181">
        <f>A181+SIN(3.14159*A181)</f>
        <v/>
      </c>
    </row>
    <row r="182">
      <c r="A182">
        <f>-3+0.025*180</f>
        <v/>
      </c>
      <c r="B182">
        <f>A182+SIN(3.14159*A182)</f>
        <v/>
      </c>
    </row>
    <row r="183">
      <c r="A183">
        <f>-3+0.025*181</f>
        <v/>
      </c>
      <c r="B183">
        <f>A183+SIN(3.14159*A183)</f>
        <v/>
      </c>
    </row>
    <row r="184">
      <c r="A184">
        <f>-3+0.025*182</f>
        <v/>
      </c>
      <c r="B184">
        <f>A184+SIN(3.14159*A184)</f>
        <v/>
      </c>
    </row>
    <row r="185">
      <c r="A185">
        <f>-3+0.025*183</f>
        <v/>
      </c>
      <c r="B185">
        <f>A185+SIN(3.14159*A185)</f>
        <v/>
      </c>
    </row>
    <row r="186">
      <c r="A186">
        <f>-3+0.025*184</f>
        <v/>
      </c>
      <c r="B186">
        <f>A186+SIN(3.14159*A186)</f>
        <v/>
      </c>
    </row>
    <row r="187">
      <c r="A187">
        <f>-3+0.025*185</f>
        <v/>
      </c>
      <c r="B187">
        <f>A187+SIN(3.14159*A187)</f>
        <v/>
      </c>
    </row>
    <row r="188">
      <c r="A188">
        <f>-3+0.025*186</f>
        <v/>
      </c>
      <c r="B188">
        <f>A188+SIN(3.14159*A188)</f>
        <v/>
      </c>
    </row>
    <row r="189">
      <c r="A189">
        <f>-3+0.025*187</f>
        <v/>
      </c>
      <c r="B189">
        <f>A189+SIN(3.14159*A189)</f>
        <v/>
      </c>
    </row>
    <row r="190">
      <c r="A190">
        <f>-3+0.025*188</f>
        <v/>
      </c>
      <c r="B190">
        <f>A190+SIN(3.14159*A190)</f>
        <v/>
      </c>
    </row>
    <row r="191">
      <c r="A191">
        <f>-3+0.025*189</f>
        <v/>
      </c>
      <c r="B191">
        <f>A191+SIN(3.14159*A191)</f>
        <v/>
      </c>
    </row>
    <row r="192">
      <c r="A192">
        <f>-3+0.025*190</f>
        <v/>
      </c>
      <c r="B192">
        <f>A192+SIN(3.14159*A192)</f>
        <v/>
      </c>
    </row>
    <row r="193">
      <c r="A193">
        <f>-3+0.025*191</f>
        <v/>
      </c>
      <c r="B193">
        <f>A193+SIN(3.14159*A193)</f>
        <v/>
      </c>
    </row>
    <row r="194">
      <c r="A194">
        <f>-3+0.025*192</f>
        <v/>
      </c>
      <c r="B194">
        <f>A194+SIN(3.14159*A194)</f>
        <v/>
      </c>
    </row>
    <row r="195">
      <c r="A195">
        <f>-3+0.025*193</f>
        <v/>
      </c>
      <c r="B195">
        <f>A195+SIN(3.14159*A195)</f>
        <v/>
      </c>
    </row>
    <row r="196">
      <c r="A196">
        <f>-3+0.025*194</f>
        <v/>
      </c>
      <c r="B196">
        <f>A196+SIN(3.14159*A196)</f>
        <v/>
      </c>
    </row>
    <row r="197">
      <c r="A197">
        <f>-3+0.025*195</f>
        <v/>
      </c>
      <c r="B197">
        <f>A197+SIN(3.14159*A197)</f>
        <v/>
      </c>
    </row>
    <row r="198">
      <c r="A198">
        <f>-3+0.025*196</f>
        <v/>
      </c>
      <c r="B198">
        <f>A198+SIN(3.14159*A198)</f>
        <v/>
      </c>
    </row>
    <row r="199">
      <c r="A199">
        <f>-3+0.025*197</f>
        <v/>
      </c>
      <c r="B199">
        <f>A199+SIN(3.14159*A199)</f>
        <v/>
      </c>
    </row>
    <row r="200">
      <c r="A200">
        <f>-3+0.025*198</f>
        <v/>
      </c>
      <c r="B200">
        <f>A200+SIN(3.14159*A200)</f>
        <v/>
      </c>
    </row>
    <row r="201">
      <c r="A201">
        <f>-3+0.025*199</f>
        <v/>
      </c>
      <c r="B201">
        <f>A201+SIN(3.14159*A201)</f>
        <v/>
      </c>
    </row>
    <row r="202">
      <c r="A202">
        <f>-3+0.025*200</f>
        <v/>
      </c>
      <c r="B202">
        <f>A202+SIN(3.14159*A202)</f>
        <v/>
      </c>
    </row>
    <row r="203">
      <c r="A203">
        <f>-3+0.025*201</f>
        <v/>
      </c>
      <c r="B203">
        <f>A203+SIN(3.14159*A203)</f>
        <v/>
      </c>
    </row>
    <row r="204">
      <c r="A204">
        <f>-3+0.025*202</f>
        <v/>
      </c>
      <c r="B204">
        <f>A204+SIN(3.14159*A204)</f>
        <v/>
      </c>
    </row>
    <row r="205">
      <c r="A205">
        <f>-3+0.025*203</f>
        <v/>
      </c>
      <c r="B205">
        <f>A205+SIN(3.14159*A205)</f>
        <v/>
      </c>
    </row>
    <row r="206">
      <c r="A206">
        <f>-3+0.025*204</f>
        <v/>
      </c>
      <c r="B206">
        <f>A206+SIN(3.14159*A206)</f>
        <v/>
      </c>
    </row>
    <row r="207">
      <c r="A207">
        <f>-3+0.025*205</f>
        <v/>
      </c>
      <c r="B207">
        <f>A207+SIN(3.14159*A207)</f>
        <v/>
      </c>
    </row>
    <row r="208">
      <c r="A208">
        <f>-3+0.025*206</f>
        <v/>
      </c>
      <c r="B208">
        <f>A208+SIN(3.14159*A208)</f>
        <v/>
      </c>
    </row>
    <row r="209">
      <c r="A209">
        <f>-3+0.025*207</f>
        <v/>
      </c>
      <c r="B209">
        <f>A209+SIN(3.14159*A209)</f>
        <v/>
      </c>
    </row>
    <row r="210">
      <c r="A210">
        <f>-3+0.025*208</f>
        <v/>
      </c>
      <c r="B210">
        <f>A210+SIN(3.14159*A210)</f>
        <v/>
      </c>
    </row>
    <row r="211">
      <c r="A211">
        <f>-3+0.025*209</f>
        <v/>
      </c>
      <c r="B211">
        <f>A211+SIN(3.14159*A211)</f>
        <v/>
      </c>
    </row>
    <row r="212">
      <c r="A212">
        <f>-3+0.025*210</f>
        <v/>
      </c>
      <c r="B212">
        <f>A212+SIN(3.14159*A212)</f>
        <v/>
      </c>
    </row>
    <row r="213">
      <c r="A213">
        <f>-3+0.025*211</f>
        <v/>
      </c>
      <c r="B213">
        <f>A213+SIN(3.14159*A213)</f>
        <v/>
      </c>
    </row>
    <row r="214">
      <c r="A214">
        <f>-3+0.025*212</f>
        <v/>
      </c>
      <c r="B214">
        <f>A214+SIN(3.14159*A214)</f>
        <v/>
      </c>
    </row>
    <row r="215">
      <c r="A215">
        <f>-3+0.025*213</f>
        <v/>
      </c>
      <c r="B215">
        <f>A215+SIN(3.14159*A215)</f>
        <v/>
      </c>
    </row>
    <row r="216">
      <c r="A216">
        <f>-3+0.025*214</f>
        <v/>
      </c>
      <c r="B216">
        <f>A216+SIN(3.14159*A216)</f>
        <v/>
      </c>
    </row>
    <row r="217">
      <c r="A217">
        <f>-3+0.025*215</f>
        <v/>
      </c>
      <c r="B217">
        <f>A217+SIN(3.14159*A217)</f>
        <v/>
      </c>
    </row>
    <row r="218">
      <c r="A218">
        <f>-3+0.025*216</f>
        <v/>
      </c>
      <c r="B218">
        <f>A218+SIN(3.14159*A218)</f>
        <v/>
      </c>
    </row>
    <row r="219">
      <c r="A219">
        <f>-3+0.025*217</f>
        <v/>
      </c>
      <c r="B219">
        <f>A219+SIN(3.14159*A219)</f>
        <v/>
      </c>
    </row>
    <row r="220">
      <c r="A220">
        <f>-3+0.025*218</f>
        <v/>
      </c>
      <c r="B220">
        <f>A220+SIN(3.14159*A220)</f>
        <v/>
      </c>
    </row>
    <row r="221">
      <c r="A221">
        <f>-3+0.025*219</f>
        <v/>
      </c>
      <c r="B221">
        <f>A221+SIN(3.14159*A221)</f>
        <v/>
      </c>
    </row>
    <row r="222">
      <c r="A222">
        <f>-3+0.025*220</f>
        <v/>
      </c>
      <c r="B222">
        <f>A222+SIN(3.14159*A222)</f>
        <v/>
      </c>
    </row>
    <row r="223">
      <c r="A223">
        <f>-3+0.025*221</f>
        <v/>
      </c>
      <c r="B223">
        <f>A223+SIN(3.14159*A223)</f>
        <v/>
      </c>
    </row>
    <row r="224">
      <c r="A224">
        <f>-3+0.025*222</f>
        <v/>
      </c>
      <c r="B224">
        <f>A224+SIN(3.14159*A224)</f>
        <v/>
      </c>
    </row>
    <row r="225">
      <c r="A225">
        <f>-3+0.025*223</f>
        <v/>
      </c>
      <c r="B225">
        <f>A225+SIN(3.14159*A225)</f>
        <v/>
      </c>
    </row>
    <row r="226">
      <c r="A226">
        <f>-3+0.025*224</f>
        <v/>
      </c>
      <c r="B226">
        <f>A226+SIN(3.14159*A226)</f>
        <v/>
      </c>
    </row>
    <row r="227">
      <c r="A227">
        <f>-3+0.025*225</f>
        <v/>
      </c>
      <c r="B227">
        <f>A227+SIN(3.14159*A227)</f>
        <v/>
      </c>
    </row>
    <row r="228">
      <c r="A228">
        <f>-3+0.025*226</f>
        <v/>
      </c>
      <c r="B228">
        <f>A228+SIN(3.14159*A228)</f>
        <v/>
      </c>
    </row>
    <row r="229">
      <c r="A229">
        <f>-3+0.025*227</f>
        <v/>
      </c>
      <c r="B229">
        <f>A229+SIN(3.14159*A229)</f>
        <v/>
      </c>
    </row>
    <row r="230">
      <c r="A230">
        <f>-3+0.025*228</f>
        <v/>
      </c>
      <c r="B230">
        <f>A230+SIN(3.14159*A230)</f>
        <v/>
      </c>
    </row>
    <row r="231">
      <c r="A231">
        <f>-3+0.025*229</f>
        <v/>
      </c>
      <c r="B231">
        <f>A231+SIN(3.14159*A231)</f>
        <v/>
      </c>
    </row>
    <row r="232">
      <c r="A232">
        <f>-3+0.025*230</f>
        <v/>
      </c>
      <c r="B232">
        <f>A232+SIN(3.14159*A232)</f>
        <v/>
      </c>
    </row>
    <row r="233">
      <c r="A233">
        <f>-3+0.025*231</f>
        <v/>
      </c>
      <c r="B233">
        <f>A233+SIN(3.14159*A233)</f>
        <v/>
      </c>
    </row>
    <row r="234">
      <c r="A234">
        <f>-3+0.025*232</f>
        <v/>
      </c>
      <c r="B234">
        <f>A234+SIN(3.14159*A234)</f>
        <v/>
      </c>
    </row>
    <row r="235">
      <c r="A235">
        <f>-3+0.025*233</f>
        <v/>
      </c>
      <c r="B235">
        <f>A235+SIN(3.14159*A235)</f>
        <v/>
      </c>
    </row>
    <row r="236">
      <c r="A236">
        <f>-3+0.025*234</f>
        <v/>
      </c>
      <c r="B236">
        <f>A236+SIN(3.14159*A236)</f>
        <v/>
      </c>
    </row>
    <row r="237">
      <c r="A237">
        <f>-3+0.025*235</f>
        <v/>
      </c>
      <c r="B237">
        <f>A237+SIN(3.14159*A237)</f>
        <v/>
      </c>
    </row>
    <row r="238">
      <c r="A238">
        <f>-3+0.025*236</f>
        <v/>
      </c>
      <c r="B238">
        <f>A238+SIN(3.14159*A238)</f>
        <v/>
      </c>
    </row>
    <row r="239">
      <c r="A239">
        <f>-3+0.025*237</f>
        <v/>
      </c>
      <c r="B239">
        <f>A239+SIN(3.14159*A239)</f>
        <v/>
      </c>
    </row>
    <row r="240">
      <c r="A240">
        <f>-3+0.025*238</f>
        <v/>
      </c>
      <c r="B240">
        <f>A240+SIN(3.14159*A240)</f>
        <v/>
      </c>
    </row>
    <row r="241">
      <c r="A241">
        <f>-3+0.025*239</f>
        <v/>
      </c>
      <c r="B241">
        <f>A241+SIN(3.14159*A241)</f>
        <v/>
      </c>
    </row>
    <row r="242">
      <c r="A242">
        <f>-3+0.025*240</f>
        <v/>
      </c>
      <c r="B242">
        <f>A242+SIN(3.14159*A242)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2026-10-07T13:37:41Z</dcterms:created>
  <dcterms:modified xmlns:dcterms="http://purl.org/dc/terms/" xmlns:xsi="http://www.w3.org/2001/XMLSchema-instance" xsi:type="dcterms:W3CDTF">2026-10-07T13:37:41Z</dcterms:modified>
</cp:coreProperties>
</file>