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ЗЛП" sheetId="1" state="visible" r:id="rId1"/>
    <sheet xmlns:r="http://schemas.openxmlformats.org/officeDocument/2006/relationships" name="Двойственная" sheetId="2" state="visible" r:id="rId2"/>
    <sheet xmlns:r="http://schemas.openxmlformats.org/officeDocument/2006/relationships" name="Целочисленная" sheetId="3" state="visible" r:id="rId3"/>
  </sheets>
  <definedNames>
    <definedName name="solver_opt" localSheetId="0" hidden="1">'ЗЛП'!$B$9</definedName>
    <definedName name="solver_adj" localSheetId="0" hidden="1">'ЗЛП'!$B$4:$B$7</definedName>
    <definedName name="solver_typ" localSheetId="0" hidden="1">2</definedName>
    <definedName name="solver_val" localSheetId="0" hidden="1">0</definedName>
    <definedName name="solver_eng" localSheetId="0" hidden="1">2</definedName>
    <definedName name="solver_lin" localSheetId="0" hidden="1">1</definedName>
    <definedName name="solver_neg" localSheetId="0" hidden="1">1</definedName>
    <definedName name="solver_num" localSheetId="0" hidden="1">3</definedName>
    <definedName name="solver_ver" localSheetId="0" hidden="1">3</definedName>
    <definedName name="solver_cvg" localSheetId="0" hidden="1">0.0001</definedName>
    <definedName name="solver_drv" localSheetId="0" hidden="1">1</definedName>
    <definedName name="solver_est" localSheetId="0" hidden="1">1</definedName>
    <definedName name="solver_itr" localSheetId="0" hidden="1">2147483647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od" localSheetId="0" hidden="1">2147483647</definedName>
    <definedName name="solver_pre" localSheetId="0" hidden="1">0.000001</definedName>
    <definedName name="solver_rbv" localSheetId="0" hidden="1">1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</definedName>
    <definedName name="solver_nwt" localSheetId="0" hidden="1">1</definedName>
    <definedName name="solver_lhs1" localSheetId="0" hidden="1">'ЗЛП'!$B$12</definedName>
    <definedName name="solver_rel1" localSheetId="0" hidden="1">1</definedName>
    <definedName name="solver_rhs1" localSheetId="0" hidden="1">'ЗЛП'!$H$12</definedName>
    <definedName name="solver_lhs2" localSheetId="0" hidden="1">'ЗЛП'!$B$13</definedName>
    <definedName name="solver_rel2" localSheetId="0" hidden="1">2</definedName>
    <definedName name="solver_rhs2" localSheetId="0" hidden="1">'ЗЛП'!$H$13</definedName>
    <definedName name="solver_lhs3" localSheetId="0" hidden="1">'ЗЛП'!$B$14</definedName>
    <definedName name="solver_rel3" localSheetId="0" hidden="1">3</definedName>
    <definedName name="solver_rhs3" localSheetId="0" hidden="1">'ЗЛП'!$H$14</definedName>
    <definedName name="solver_opt" localSheetId="1" hidden="1">'Двойственная'!$B$8</definedName>
    <definedName name="solver_adj" localSheetId="1" hidden="1">'Двойственная'!$B$4:$B$6</definedName>
    <definedName name="solver_typ" localSheetId="1" hidden="1">1</definedName>
    <definedName name="solver_val" localSheetId="1" hidden="1">0</definedName>
    <definedName name="solver_eng" localSheetId="1" hidden="1">2</definedName>
    <definedName name="solver_lin" localSheetId="1" hidden="1">1</definedName>
    <definedName name="solver_neg" localSheetId="1" hidden="1">2</definedName>
    <definedName name="solver_num" localSheetId="1" hidden="1">6</definedName>
    <definedName name="solver_ver" localSheetId="1" hidden="1">3</definedName>
    <definedName name="solver_cvg" localSheetId="1" hidden="1">0.0001</definedName>
    <definedName name="solver_drv" localSheetId="1" hidden="1">1</definedName>
    <definedName name="solver_est" localSheetId="1" hidden="1">1</definedName>
    <definedName name="solver_itr" localSheetId="1" hidden="1">2147483647</definedName>
    <definedName name="solver_mip" localSheetId="1" hidden="1">2147483647</definedName>
    <definedName name="solver_mni" localSheetId="1" hidden="1">30</definedName>
    <definedName name="solver_mrt" localSheetId="1" hidden="1">0.075</definedName>
    <definedName name="solver_msl" localSheetId="1" hidden="1">2</definedName>
    <definedName name="solver_nod" localSheetId="1" hidden="1">2147483647</definedName>
    <definedName name="solver_pre" localSheetId="1" hidden="1">0.000001</definedName>
    <definedName name="solver_rbv" localSheetId="1" hidden="1">1</definedName>
    <definedName name="solver_rlx" localSheetId="1" hidden="1">2</definedName>
    <definedName name="solver_rsd" localSheetId="1" hidden="1">0</definedName>
    <definedName name="solver_scl" localSheetId="1" hidden="1">1</definedName>
    <definedName name="solver_sho" localSheetId="1" hidden="1">2</definedName>
    <definedName name="solver_ssz" localSheetId="1" hidden="1">100</definedName>
    <definedName name="solver_tim" localSheetId="1" hidden="1">2147483647</definedName>
    <definedName name="solver_tol" localSheetId="1" hidden="1">0</definedName>
    <definedName name="solver_nwt" localSheetId="1" hidden="1">1</definedName>
    <definedName name="solver_lhs1" localSheetId="1" hidden="1">'Двойственная'!$B$11</definedName>
    <definedName name="solver_rel1" localSheetId="1" hidden="1">1</definedName>
    <definedName name="solver_rhs1" localSheetId="1" hidden="1">'Двойственная'!$G$11</definedName>
    <definedName name="solver_lhs2" localSheetId="1" hidden="1">'Двойственная'!$B$12</definedName>
    <definedName name="solver_rel2" localSheetId="1" hidden="1">1</definedName>
    <definedName name="solver_rhs2" localSheetId="1" hidden="1">'Двойственная'!$G$12</definedName>
    <definedName name="solver_lhs3" localSheetId="1" hidden="1">'Двойственная'!$B$13</definedName>
    <definedName name="solver_rel3" localSheetId="1" hidden="1">1</definedName>
    <definedName name="solver_rhs3" localSheetId="1" hidden="1">'Двойственная'!$G$13</definedName>
    <definedName name="solver_lhs4" localSheetId="1" hidden="1">'Двойственная'!$B$14</definedName>
    <definedName name="solver_rel4" localSheetId="1" hidden="1">1</definedName>
    <definedName name="solver_rhs4" localSheetId="1" hidden="1">'Двойственная'!$G$14</definedName>
    <definedName name="solver_lhs5" localSheetId="1" hidden="1">'Двойственная'!$B$4</definedName>
    <definedName name="solver_rel5" localSheetId="1" hidden="1">3</definedName>
    <definedName name="solver_rhs5" localSheetId="1" hidden="1">0</definedName>
    <definedName name="solver_lhs6" localSheetId="1" hidden="1">'Двойственная'!$B$6</definedName>
    <definedName name="solver_rel6" localSheetId="1" hidden="1">3</definedName>
    <definedName name="solver_rhs6" localSheetId="1" hidden="1">0</definedName>
    <definedName name="solver_opt" localSheetId="2" hidden="1">'Целочисленная'!$B$9</definedName>
    <definedName name="solver_adj" localSheetId="2" hidden="1">'Целочисленная'!$B$4:$B$7</definedName>
    <definedName name="solver_typ" localSheetId="2" hidden="1">2</definedName>
    <definedName name="solver_val" localSheetId="2" hidden="1">0</definedName>
    <definedName name="solver_eng" localSheetId="2" hidden="1">2</definedName>
    <definedName name="solver_lin" localSheetId="2" hidden="1">1</definedName>
    <definedName name="solver_neg" localSheetId="2" hidden="1">1</definedName>
    <definedName name="solver_num" localSheetId="2" hidden="1">4</definedName>
    <definedName name="solver_ver" localSheetId="2" hidden="1">3</definedName>
    <definedName name="solver_cvg" localSheetId="2" hidden="1">0.0001</definedName>
    <definedName name="solver_drv" localSheetId="2" hidden="1">1</definedName>
    <definedName name="solver_est" localSheetId="2" hidden="1">1</definedName>
    <definedName name="solver_itr" localSheetId="2" hidden="1">2147483647</definedName>
    <definedName name="solver_mip" localSheetId="2" hidden="1">2147483647</definedName>
    <definedName name="solver_mni" localSheetId="2" hidden="1">30</definedName>
    <definedName name="solver_mrt" localSheetId="2" hidden="1">0.075</definedName>
    <definedName name="solver_msl" localSheetId="2" hidden="1">2</definedName>
    <definedName name="solver_nod" localSheetId="2" hidden="1">2147483647</definedName>
    <definedName name="solver_pre" localSheetId="2" hidden="1">0.000001</definedName>
    <definedName name="solver_rbv" localSheetId="2" hidden="1">1</definedName>
    <definedName name="solver_rlx" localSheetId="2" hidden="1">2</definedName>
    <definedName name="solver_rsd" localSheetId="2" hidden="1">0</definedName>
    <definedName name="solver_scl" localSheetId="2" hidden="1">1</definedName>
    <definedName name="solver_sho" localSheetId="2" hidden="1">2</definedName>
    <definedName name="solver_ssz" localSheetId="2" hidden="1">100</definedName>
    <definedName name="solver_tim" localSheetId="2" hidden="1">2147483647</definedName>
    <definedName name="solver_tol" localSheetId="2" hidden="1">0</definedName>
    <definedName name="solver_nwt" localSheetId="2" hidden="1">1</definedName>
    <definedName name="solver_lhs1" localSheetId="2" hidden="1">'Целочисленная'!$B$12</definedName>
    <definedName name="solver_rel1" localSheetId="2" hidden="1">1</definedName>
    <definedName name="solver_rhs1" localSheetId="2" hidden="1">'Целочисленная'!$H$12</definedName>
    <definedName name="solver_lhs2" localSheetId="2" hidden="1">'Целочисленная'!$B$13</definedName>
    <definedName name="solver_rel2" localSheetId="2" hidden="1">2</definedName>
    <definedName name="solver_rhs2" localSheetId="2" hidden="1">'Целочисленная'!$H$13</definedName>
    <definedName name="solver_lhs3" localSheetId="2" hidden="1">'Целочисленная'!$B$14</definedName>
    <definedName name="solver_rel3" localSheetId="2" hidden="1">3</definedName>
    <definedName name="solver_rhs3" localSheetId="2" hidden="1">'Целочисленная'!$H$14</definedName>
    <definedName name="solver_lhs4" localSheetId="2" hidden="1">'Целочисленная'!$B$4:$B$7</definedName>
    <definedName name="solver_rel4" localSheetId="2" hidden="1">4</definedName>
    <definedName name="solver_rhs4" localSheetId="2" hidden="1">"integer"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i val="1"/>
      <color rgb="00555555"/>
    </font>
  </fonts>
  <fills count="5">
    <fill>
      <patternFill/>
    </fill>
    <fill>
      <patternFill patternType="gray125"/>
    </fill>
    <fill>
      <patternFill patternType="solid">
        <fgColor rgb="00DCE6F1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0" fontId="0" fillId="3" borderId="1" pivotButton="0" quotePrefix="0" xfId="0"/>
    <xf numFmtId="0" fontId="2" fillId="4" borderId="1" pivotButton="0" quotePrefix="0" xfId="0"/>
    <xf numFmtId="0" fontId="0" fillId="4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5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>
      <c r="A1" s="1" t="inlineStr">
        <is>
          <t>ЛР1. Вариант 6: Z = 2x1 + x2 + x3 + 3x4 → min</t>
        </is>
      </c>
    </row>
    <row r="3">
      <c r="A3" s="2" t="inlineStr">
        <is>
          <t>Переменная</t>
        </is>
      </c>
      <c r="B3" s="2" t="inlineStr">
        <is>
          <t>Значение</t>
        </is>
      </c>
      <c r="C3" s="2" t="inlineStr">
        <is>
          <t>Коэф. в целевой</t>
        </is>
      </c>
    </row>
    <row r="4">
      <c r="A4" s="3" t="inlineStr">
        <is>
          <t>x1</t>
        </is>
      </c>
      <c r="B4" s="4" t="n">
        <v>0</v>
      </c>
      <c r="C4" s="3" t="n">
        <v>2</v>
      </c>
    </row>
    <row r="5">
      <c r="A5" s="3" t="inlineStr">
        <is>
          <t>x2</t>
        </is>
      </c>
      <c r="B5" s="4" t="n">
        <v>0</v>
      </c>
      <c r="C5" s="3" t="n">
        <v>1</v>
      </c>
    </row>
    <row r="6">
      <c r="A6" s="3" t="inlineStr">
        <is>
          <t>x3</t>
        </is>
      </c>
      <c r="B6" s="4" t="n">
        <v>7</v>
      </c>
      <c r="C6" s="3" t="n">
        <v>1</v>
      </c>
    </row>
    <row r="7">
      <c r="A7" s="3" t="inlineStr">
        <is>
          <t>x4</t>
        </is>
      </c>
      <c r="B7" s="4" t="n">
        <v>0</v>
      </c>
      <c r="C7" s="3" t="n">
        <v>3</v>
      </c>
    </row>
    <row r="9">
      <c r="A9" s="5" t="inlineStr">
        <is>
          <t>Z (целевая функция)</t>
        </is>
      </c>
      <c r="B9" s="5">
        <f>SUMPRODUCT($B$4:$B$7,$C$4:$C$7)</f>
        <v/>
      </c>
      <c r="C9" s="6" t="inlineStr">
        <is>
          <t>→ min</t>
        </is>
      </c>
    </row>
    <row r="11">
      <c r="A11" s="2" t="inlineStr">
        <is>
          <t>Ограничение</t>
        </is>
      </c>
      <c r="B11" s="2" t="inlineStr">
        <is>
          <t>Левая часть</t>
        </is>
      </c>
      <c r="C11" s="2" t="inlineStr">
        <is>
          <t>коэф. x1</t>
        </is>
      </c>
      <c r="D11" s="2" t="inlineStr">
        <is>
          <t>коэф. x2</t>
        </is>
      </c>
      <c r="E11" s="2" t="inlineStr">
        <is>
          <t>коэф. x3</t>
        </is>
      </c>
      <c r="F11" s="2" t="inlineStr">
        <is>
          <t>коэф. x4</t>
        </is>
      </c>
      <c r="G11" s="2" t="inlineStr">
        <is>
          <t>Знак</t>
        </is>
      </c>
      <c r="H11" s="2" t="inlineStr">
        <is>
          <t>Правая часть</t>
        </is>
      </c>
    </row>
    <row r="12">
      <c r="A12" s="3" t="inlineStr">
        <is>
          <t>1: x1 + 2x2 + x4 &lt;= 10</t>
        </is>
      </c>
      <c r="B12" s="3">
        <f>C12*$B$4+D12*$B$5+E12*$B$6+F12*$B$7</f>
        <v/>
      </c>
      <c r="C12" s="3" t="n">
        <v>1</v>
      </c>
      <c r="D12" s="3" t="n">
        <v>2</v>
      </c>
      <c r="E12" s="3" t="n">
        <v>0</v>
      </c>
      <c r="F12" s="3" t="n">
        <v>1</v>
      </c>
      <c r="G12" s="3" t="inlineStr">
        <is>
          <t>&lt;=</t>
        </is>
      </c>
      <c r="H12" s="3" t="n">
        <v>10</v>
      </c>
    </row>
    <row r="13">
      <c r="A13" s="3" t="inlineStr">
        <is>
          <t>2: x1 + x3 + x4 = 7</t>
        </is>
      </c>
      <c r="B13" s="3">
        <f>C13*$B$4+D13*$B$5+E13*$B$6+F13*$B$7</f>
        <v/>
      </c>
      <c r="C13" s="3" t="n">
        <v>1</v>
      </c>
      <c r="D13" s="3" t="n">
        <v>0</v>
      </c>
      <c r="E13" s="3" t="n">
        <v>1</v>
      </c>
      <c r="F13" s="3" t="n">
        <v>1</v>
      </c>
      <c r="G13" s="3" t="inlineStr">
        <is>
          <t>=</t>
        </is>
      </c>
      <c r="H13" s="3" t="n">
        <v>7</v>
      </c>
    </row>
    <row r="14">
      <c r="A14" s="3" t="inlineStr">
        <is>
          <t>3: x2 + 2x3 &gt;= 5</t>
        </is>
      </c>
      <c r="B14" s="3">
        <f>C14*$B$4+D14*$B$5+E14*$B$6+F14*$B$7</f>
        <v/>
      </c>
      <c r="C14" s="3" t="n">
        <v>0</v>
      </c>
      <c r="D14" s="3" t="n">
        <v>1</v>
      </c>
      <c r="E14" s="3" t="n">
        <v>2</v>
      </c>
      <c r="F14" s="3" t="n">
        <v>0</v>
      </c>
      <c r="G14" s="3" t="inlineStr">
        <is>
          <t>&gt;=</t>
        </is>
      </c>
      <c r="H14" s="3" t="n">
        <v>5</v>
      </c>
    </row>
    <row r="16">
      <c r="A16" s="7" t="inlineStr">
        <is>
          <t>Данные → Поиск решения (Solver): модель уже сохранена в листе —</t>
        </is>
      </c>
    </row>
    <row r="17">
      <c r="A17" s="7" t="inlineStr">
        <is>
          <t>целевая ячейка, изменяемые ячейки и ограничения подставятся сами.</t>
        </is>
      </c>
    </row>
    <row r="18">
      <c r="A18" s="7" t="inlineStr">
        <is>
          <t>Метод решения: «Поиск решения лин. задач симплекс-методом» (Simplex LP) → Найти решение.</t>
        </is>
      </c>
    </row>
    <row r="19">
      <c r="A19" s="7" t="inlineStr">
        <is>
          <t>Ответ: x* = (0, 0, 7, 0), Z(x*) = 7.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5" customWidth="1" min="3" max="3"/>
    <col width="11" customWidth="1" min="4" max="4"/>
    <col width="11" customWidth="1" min="5" max="5"/>
    <col width="11" customWidth="1" min="6" max="6"/>
    <col width="11" customWidth="1" min="7" max="7"/>
  </cols>
  <sheetData>
    <row r="1">
      <c r="A1" s="1" t="inlineStr">
        <is>
          <t>Бонус: двойственная задача  W = -10y1 + 7y2 + 5y3 → max</t>
        </is>
      </c>
    </row>
    <row r="3">
      <c r="A3" s="2" t="inlineStr">
        <is>
          <t>Переменная</t>
        </is>
      </c>
      <c r="B3" s="2" t="inlineStr">
        <is>
          <t>Значение</t>
        </is>
      </c>
      <c r="C3" s="2" t="inlineStr">
        <is>
          <t>Коэф. в целевой</t>
        </is>
      </c>
    </row>
    <row r="4">
      <c r="A4" s="3" t="inlineStr">
        <is>
          <t>y1</t>
        </is>
      </c>
      <c r="B4" s="4" t="n">
        <v>0</v>
      </c>
      <c r="C4" s="3" t="n">
        <v>-10</v>
      </c>
    </row>
    <row r="5">
      <c r="A5" s="3" t="inlineStr">
        <is>
          <t>y2</t>
        </is>
      </c>
      <c r="B5" s="4" t="n">
        <v>1</v>
      </c>
      <c r="C5" s="3" t="n">
        <v>7</v>
      </c>
    </row>
    <row r="6">
      <c r="A6" s="3" t="inlineStr">
        <is>
          <t>y3</t>
        </is>
      </c>
      <c r="B6" s="4" t="n">
        <v>0</v>
      </c>
      <c r="C6" s="3" t="n">
        <v>5</v>
      </c>
    </row>
    <row r="8">
      <c r="A8" s="5" t="inlineStr">
        <is>
          <t>W (целевая функция)</t>
        </is>
      </c>
      <c r="B8" s="5">
        <f>SUMPRODUCT($B$4:$B$6,$C$4:$C$6)</f>
        <v/>
      </c>
      <c r="C8" s="6" t="inlineStr">
        <is>
          <t>→ max</t>
        </is>
      </c>
    </row>
    <row r="10">
      <c r="A10" s="2" t="inlineStr">
        <is>
          <t>Ограничение</t>
        </is>
      </c>
      <c r="B10" s="2" t="inlineStr">
        <is>
          <t>Левая часть</t>
        </is>
      </c>
      <c r="C10" s="2" t="inlineStr">
        <is>
          <t>коэф. y1</t>
        </is>
      </c>
      <c r="D10" s="2" t="inlineStr">
        <is>
          <t>коэф. y2</t>
        </is>
      </c>
      <c r="E10" s="2" t="inlineStr">
        <is>
          <t>коэф. y3</t>
        </is>
      </c>
      <c r="F10" s="2" t="inlineStr">
        <is>
          <t>Знак</t>
        </is>
      </c>
      <c r="G10" s="2" t="inlineStr">
        <is>
          <t>Правая часть</t>
        </is>
      </c>
    </row>
    <row r="11">
      <c r="A11" s="3" t="inlineStr">
        <is>
          <t>при x1: -y1 + y2 &lt;= 2</t>
        </is>
      </c>
      <c r="B11" s="3">
        <f>C11*$B$4+D11*$B$5+E11*$B$6</f>
        <v/>
      </c>
      <c r="C11" s="3" t="n">
        <v>-1</v>
      </c>
      <c r="D11" s="3" t="n">
        <v>1</v>
      </c>
      <c r="E11" s="3" t="n">
        <v>0</v>
      </c>
      <c r="F11" s="3" t="inlineStr">
        <is>
          <t>&lt;=</t>
        </is>
      </c>
      <c r="G11" s="3" t="n">
        <v>2</v>
      </c>
    </row>
    <row r="12">
      <c r="A12" s="3" t="inlineStr">
        <is>
          <t>при x2: -2y1 + y3 &lt;= 1</t>
        </is>
      </c>
      <c r="B12" s="3">
        <f>C12*$B$4+D12*$B$5+E12*$B$6</f>
        <v/>
      </c>
      <c r="C12" s="3" t="n">
        <v>-2</v>
      </c>
      <c r="D12" s="3" t="n">
        <v>0</v>
      </c>
      <c r="E12" s="3" t="n">
        <v>1</v>
      </c>
      <c r="F12" s="3" t="inlineStr">
        <is>
          <t>&lt;=</t>
        </is>
      </c>
      <c r="G12" s="3" t="n">
        <v>1</v>
      </c>
    </row>
    <row r="13">
      <c r="A13" s="3" t="inlineStr">
        <is>
          <t>при x3: y2 + 2y3 &lt;= 1</t>
        </is>
      </c>
      <c r="B13" s="3">
        <f>C13*$B$4+D13*$B$5+E13*$B$6</f>
        <v/>
      </c>
      <c r="C13" s="3" t="n">
        <v>0</v>
      </c>
      <c r="D13" s="3" t="n">
        <v>1</v>
      </c>
      <c r="E13" s="3" t="n">
        <v>2</v>
      </c>
      <c r="F13" s="3" t="inlineStr">
        <is>
          <t>&lt;=</t>
        </is>
      </c>
      <c r="G13" s="3" t="n">
        <v>1</v>
      </c>
    </row>
    <row r="14">
      <c r="A14" s="3" t="inlineStr">
        <is>
          <t>при x4: -y1 + y2 &lt;= 3</t>
        </is>
      </c>
      <c r="B14" s="3">
        <f>C14*$B$4+D14*$B$5+E14*$B$6</f>
        <v/>
      </c>
      <c r="C14" s="3" t="n">
        <v>-1</v>
      </c>
      <c r="D14" s="3" t="n">
        <v>1</v>
      </c>
      <c r="E14" s="3" t="n">
        <v>0</v>
      </c>
      <c r="F14" s="3" t="inlineStr">
        <is>
          <t>&lt;=</t>
        </is>
      </c>
      <c r="G14" s="3" t="n">
        <v>3</v>
      </c>
    </row>
    <row r="16">
      <c r="A16" s="7" t="inlineStr">
        <is>
          <t>Ограничение 1 прямой задачи (&lt;=) умножено на -1 → y1 &gt;= 0; ограничение 2 (=) → y2 любого знака;</t>
        </is>
      </c>
    </row>
    <row r="17">
      <c r="A17" s="7" t="inlineStr">
        <is>
          <t>поэтому флажок «Сделать переменные без ограничений неотрицательными» снят, y1 &gt;= 0 и y3 &gt;= 0 заданы явно.</t>
        </is>
      </c>
    </row>
    <row r="18">
      <c r="A18" s="7" t="inlineStr">
        <is>
          <t>Ответ: y* = (0, 1, 0), W(y*) = 7 = Z(x*) — теорема двойственности.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5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>
      <c r="A1" s="1" t="inlineStr">
        <is>
          <t>Бонус: целочисленная задача (x1..x4 — целые)</t>
        </is>
      </c>
    </row>
    <row r="3">
      <c r="A3" s="2" t="inlineStr">
        <is>
          <t>Переменная</t>
        </is>
      </c>
      <c r="B3" s="2" t="inlineStr">
        <is>
          <t>Значение</t>
        </is>
      </c>
      <c r="C3" s="2" t="inlineStr">
        <is>
          <t>Коэф. в целевой</t>
        </is>
      </c>
    </row>
    <row r="4">
      <c r="A4" s="3" t="inlineStr">
        <is>
          <t>x1</t>
        </is>
      </c>
      <c r="B4" s="4" t="n">
        <v>0</v>
      </c>
      <c r="C4" s="3" t="n">
        <v>2</v>
      </c>
    </row>
    <row r="5">
      <c r="A5" s="3" t="inlineStr">
        <is>
          <t>x2</t>
        </is>
      </c>
      <c r="B5" s="4" t="n">
        <v>0</v>
      </c>
      <c r="C5" s="3" t="n">
        <v>1</v>
      </c>
    </row>
    <row r="6">
      <c r="A6" s="3" t="inlineStr">
        <is>
          <t>x3</t>
        </is>
      </c>
      <c r="B6" s="4" t="n">
        <v>7</v>
      </c>
      <c r="C6" s="3" t="n">
        <v>1</v>
      </c>
    </row>
    <row r="7">
      <c r="A7" s="3" t="inlineStr">
        <is>
          <t>x4</t>
        </is>
      </c>
      <c r="B7" s="4" t="n">
        <v>0</v>
      </c>
      <c r="C7" s="3" t="n">
        <v>3</v>
      </c>
    </row>
    <row r="9">
      <c r="A9" s="5" t="inlineStr">
        <is>
          <t>Z (целевая функция)</t>
        </is>
      </c>
      <c r="B9" s="5">
        <f>SUMPRODUCT($B$4:$B$7,$C$4:$C$7)</f>
        <v/>
      </c>
      <c r="C9" s="6" t="inlineStr">
        <is>
          <t>→ min</t>
        </is>
      </c>
    </row>
    <row r="11">
      <c r="A11" s="2" t="inlineStr">
        <is>
          <t>Ограничение</t>
        </is>
      </c>
      <c r="B11" s="2" t="inlineStr">
        <is>
          <t>Левая часть</t>
        </is>
      </c>
      <c r="C11" s="2" t="inlineStr">
        <is>
          <t>коэф. x1</t>
        </is>
      </c>
      <c r="D11" s="2" t="inlineStr">
        <is>
          <t>коэф. x2</t>
        </is>
      </c>
      <c r="E11" s="2" t="inlineStr">
        <is>
          <t>коэф. x3</t>
        </is>
      </c>
      <c r="F11" s="2" t="inlineStr">
        <is>
          <t>коэф. x4</t>
        </is>
      </c>
      <c r="G11" s="2" t="inlineStr">
        <is>
          <t>Знак</t>
        </is>
      </c>
      <c r="H11" s="2" t="inlineStr">
        <is>
          <t>Правая часть</t>
        </is>
      </c>
    </row>
    <row r="12">
      <c r="A12" s="3" t="inlineStr">
        <is>
          <t>1: x1 + 2x2 + x4 &lt;= 10</t>
        </is>
      </c>
      <c r="B12" s="3">
        <f>C12*$B$4+D12*$B$5+E12*$B$6+F12*$B$7</f>
        <v/>
      </c>
      <c r="C12" s="3" t="n">
        <v>1</v>
      </c>
      <c r="D12" s="3" t="n">
        <v>2</v>
      </c>
      <c r="E12" s="3" t="n">
        <v>0</v>
      </c>
      <c r="F12" s="3" t="n">
        <v>1</v>
      </c>
      <c r="G12" s="3" t="inlineStr">
        <is>
          <t>&lt;=</t>
        </is>
      </c>
      <c r="H12" s="3" t="n">
        <v>10</v>
      </c>
    </row>
    <row r="13">
      <c r="A13" s="3" t="inlineStr">
        <is>
          <t>2: x1 + x3 + x4 = 7</t>
        </is>
      </c>
      <c r="B13" s="3">
        <f>C13*$B$4+D13*$B$5+E13*$B$6+F13*$B$7</f>
        <v/>
      </c>
      <c r="C13" s="3" t="n">
        <v>1</v>
      </c>
      <c r="D13" s="3" t="n">
        <v>0</v>
      </c>
      <c r="E13" s="3" t="n">
        <v>1</v>
      </c>
      <c r="F13" s="3" t="n">
        <v>1</v>
      </c>
      <c r="G13" s="3" t="inlineStr">
        <is>
          <t>=</t>
        </is>
      </c>
      <c r="H13" s="3" t="n">
        <v>7</v>
      </c>
    </row>
    <row r="14">
      <c r="A14" s="3" t="inlineStr">
        <is>
          <t>3: x2 + 2x3 &gt;= 5</t>
        </is>
      </c>
      <c r="B14" s="3">
        <f>C14*$B$4+D14*$B$5+E14*$B$6+F14*$B$7</f>
        <v/>
      </c>
      <c r="C14" s="3" t="n">
        <v>0</v>
      </c>
      <c r="D14" s="3" t="n">
        <v>1</v>
      </c>
      <c r="E14" s="3" t="n">
        <v>2</v>
      </c>
      <c r="F14" s="3" t="n">
        <v>0</v>
      </c>
      <c r="G14" s="3" t="inlineStr">
        <is>
          <t>&gt;=</t>
        </is>
      </c>
      <c r="H14" s="3" t="n">
        <v>5</v>
      </c>
    </row>
    <row r="16">
      <c r="A16" s="7" t="inlineStr">
        <is>
          <t>Добавлено ограничение $B$4:$B$7 = целое (int).</t>
        </is>
      </c>
    </row>
    <row r="17">
      <c r="A17" s="7" t="inlineStr">
        <is>
          <t>Оптимум ЛП-задачи уже целочисленный, поэтому ответ тот же: x* = (0, 0, 7, 0), Z = 7.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2026-10-07T13:40:10Z</dcterms:created>
  <dcterms:modified xmlns:dcterms="http://purl.org/dc/terms/" xmlns:xsi="http://www.w3.org/2001/XMLSchema-instance" xsi:type="dcterms:W3CDTF">2026-10-07T13:40:10Z</dcterms:modified>
</cp:coreProperties>
</file>